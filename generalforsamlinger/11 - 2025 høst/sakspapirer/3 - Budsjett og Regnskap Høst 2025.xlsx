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sikt" sheetId="1" r:id="rId4"/>
    <sheet state="visible" name="Regnskap" sheetId="2" r:id="rId5"/>
    <sheet state="visible" name="Resultatrapport" sheetId="3" r:id="rId6"/>
    <sheet state="visible" name="Budsjett" sheetId="4" r:id="rId7"/>
  </sheets>
  <definedNames>
    <definedName name="Bokføringsareale">Regnskap!$E$6:$SJ$12,Regnskap!$E$14:$SJ$17,Regnskap!$E$20:$SJ$27,Regnskap!$E$29:$SJ$61</definedName>
    <definedName name="Regnskap">Regnskap!$B$6:$D$61</definedName>
  </definedNames>
  <calcPr/>
  <extLst>
    <ext uri="GoogleSheetsCustomDataVersion2">
      <go:sheetsCustomData xmlns:go="http://customooxmlschemas.google.com/" r:id="rId8" roundtripDataChecksum="6vxDf6oJZSMwKlwGcyMrEdRYtV1kVOavWy6hJtUEn0c="/>
    </ext>
  </extLst>
</workbook>
</file>

<file path=xl/sharedStrings.xml><?xml version="1.0" encoding="utf-8"?>
<sst xmlns="http://schemas.openxmlformats.org/spreadsheetml/2006/main" count="1742" uniqueCount="636">
  <si>
    <t>[i]</t>
  </si>
  <si>
    <t>RESULTATOPPSTILLING</t>
  </si>
  <si>
    <t>BALANSEOPPSTILLING</t>
  </si>
  <si>
    <t>Høst 2025</t>
  </si>
  <si>
    <t>Inntekter</t>
  </si>
  <si>
    <t>Eiendeler</t>
  </si>
  <si>
    <t>Sum Eiendeler</t>
  </si>
  <si>
    <t>Sum inntekter</t>
  </si>
  <si>
    <t>Egenkapital og gjeld</t>
  </si>
  <si>
    <t>Kostnader</t>
  </si>
  <si>
    <t>Sum EK og gjeld</t>
  </si>
  <si>
    <t>Sum kostnader</t>
  </si>
  <si>
    <t>PERIODENS RESULTAT</t>
  </si>
  <si>
    <t>KONTO ØKES MED</t>
  </si>
  <si>
    <r>
      <rPr>
        <rFont val="Cambria"/>
        <b/>
        <color theme="0"/>
        <sz val="12.0"/>
      </rPr>
      <t xml:space="preserve">BILAGSNUMMER </t>
    </r>
    <r>
      <rPr>
        <rFont val="Wingdings"/>
        <b/>
        <color theme="0"/>
        <sz val="12.0"/>
      </rPr>
      <t></t>
    </r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</si>
  <si>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</si>
  <si>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</si>
  <si>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</si>
  <si>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</si>
  <si>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</si>
  <si>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</si>
  <si>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</si>
  <si>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</si>
  <si>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</si>
  <si>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</si>
  <si>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</si>
  <si>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</si>
  <si>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</si>
  <si>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</si>
  <si>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</si>
  <si>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</si>
  <si>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</si>
  <si>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</si>
  <si>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</si>
  <si>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</si>
  <si>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</si>
  <si>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</si>
  <si>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</si>
  <si>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</si>
  <si>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</si>
  <si>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</si>
  <si>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</si>
  <si>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</si>
  <si>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</si>
  <si>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</si>
  <si>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</si>
  <si>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</si>
  <si>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</si>
  <si>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</si>
  <si>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</si>
  <si>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</si>
  <si>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</si>
  <si>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</si>
  <si>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</si>
  <si>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</si>
  <si>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</si>
  <si>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</si>
  <si>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</si>
  <si>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</si>
  <si>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</si>
  <si>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</si>
  <si>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</si>
  <si>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</si>
  <si>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</si>
  <si>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</si>
  <si>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</si>
  <si>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</si>
  <si>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#53</t>
  </si>
  <si>
    <t>#54</t>
  </si>
  <si>
    <t>#55</t>
  </si>
  <si>
    <t>#56</t>
  </si>
  <si>
    <t>#57</t>
  </si>
  <si>
    <t>#58</t>
  </si>
  <si>
    <t>#59</t>
  </si>
  <si>
    <t>#60</t>
  </si>
  <si>
    <t>#61</t>
  </si>
  <si>
    <t>#62</t>
  </si>
  <si>
    <t>#63</t>
  </si>
  <si>
    <t>#64</t>
  </si>
  <si>
    <t>#65</t>
  </si>
  <si>
    <t>#66</t>
  </si>
  <si>
    <t>#67</t>
  </si>
  <si>
    <t>#68</t>
  </si>
  <si>
    <t>#69</t>
  </si>
  <si>
    <t>#70</t>
  </si>
  <si>
    <t>#71</t>
  </si>
  <si>
    <t>#72</t>
  </si>
  <si>
    <t>#73</t>
  </si>
  <si>
    <t>#74</t>
  </si>
  <si>
    <t>#75</t>
  </si>
  <si>
    <t>#76</t>
  </si>
  <si>
    <t>#77</t>
  </si>
  <si>
    <t>#78</t>
  </si>
  <si>
    <t>#79</t>
  </si>
  <si>
    <t>#80</t>
  </si>
  <si>
    <t>#81</t>
  </si>
  <si>
    <t>#82</t>
  </si>
  <si>
    <t>#83</t>
  </si>
  <si>
    <t>#84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</si>
  <si>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</si>
  <si>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</si>
  <si>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</si>
  <si>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</si>
  <si>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</si>
  <si>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</si>
  <si>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</si>
  <si>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</si>
  <si>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</si>
  <si>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</si>
  <si>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</si>
  <si>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</si>
  <si>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</si>
  <si>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</si>
  <si>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</si>
  <si>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</si>
  <si>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</si>
  <si>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</si>
  <si>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</si>
  <si>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</si>
  <si>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</si>
  <si>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</si>
  <si>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</si>
  <si>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#108</t>
  </si>
  <si>
    <t>#109</t>
  </si>
  <si>
    <t>#110</t>
  </si>
  <si>
    <t>#111</t>
  </si>
  <si>
    <t>#112</t>
  </si>
  <si>
    <t>#113</t>
  </si>
  <si>
    <t>#114</t>
  </si>
  <si>
    <t>#115</t>
  </si>
  <si>
    <t>#116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</si>
  <si>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</si>
  <si>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</si>
  <si>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</si>
  <si>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</si>
  <si>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</si>
  <si>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</si>
  <si>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</si>
  <si>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</si>
  <si>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</si>
  <si>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</si>
  <si>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</si>
  <si>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</si>
  <si>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</si>
  <si>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</si>
  <si>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</si>
  <si>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</si>
  <si>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</si>
  <si>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</si>
  <si>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</si>
  <si>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#136</t>
  </si>
  <si>
    <t>#137</t>
  </si>
  <si>
    <t>#138</t>
  </si>
  <si>
    <t>#139</t>
  </si>
  <si>
    <t>#140</t>
  </si>
  <si>
    <t>#141</t>
  </si>
  <si>
    <t>#142</t>
  </si>
  <si>
    <t>#143</t>
  </si>
  <si>
    <t>#144</t>
  </si>
  <si>
    <t>#145</t>
  </si>
  <si>
    <t>#146</t>
  </si>
  <si>
    <t>#147</t>
  </si>
  <si>
    <t>#148</t>
  </si>
  <si>
    <t>#149</t>
  </si>
  <si>
    <t>#150</t>
  </si>
  <si>
    <t>#151</t>
  </si>
  <si>
    <t>#152</t>
  </si>
  <si>
    <t>#153</t>
  </si>
  <si>
    <t>#154</t>
  </si>
  <si>
    <t>#155</t>
  </si>
  <si>
    <t>#156</t>
  </si>
  <si>
    <t>#157</t>
  </si>
  <si>
    <t>#158</t>
  </si>
  <si>
    <t>#159</t>
  </si>
  <si>
    <t>#160</t>
  </si>
  <si>
    <t>#161</t>
  </si>
  <si>
    <t>#162</t>
  </si>
  <si>
    <t>#163</t>
  </si>
  <si>
    <t>#164</t>
  </si>
  <si>
    <t>#165</t>
  </si>
  <si>
    <t>#166</t>
  </si>
  <si>
    <t>#167</t>
  </si>
  <si>
    <t>#168</t>
  </si>
  <si>
    <t>#169</t>
  </si>
  <si>
    <t>#170</t>
  </si>
  <si>
    <t>#171</t>
  </si>
  <si>
    <t>#172</t>
  </si>
  <si>
    <t>#173</t>
  </si>
  <si>
    <t>#174</t>
  </si>
  <si>
    <t>#175</t>
  </si>
  <si>
    <t>#176</t>
  </si>
  <si>
    <t>#177</t>
  </si>
  <si>
    <t>#178</t>
  </si>
  <si>
    <t>#179</t>
  </si>
  <si>
    <t>#180</t>
  </si>
  <si>
    <t>#181</t>
  </si>
  <si>
    <t>#182</t>
  </si>
  <si>
    <t>#183</t>
  </si>
  <si>
    <t>#184</t>
  </si>
  <si>
    <t>#185</t>
  </si>
  <si>
    <t>#186</t>
  </si>
  <si>
    <t>#187</t>
  </si>
  <si>
    <t>#188</t>
  </si>
  <si>
    <t>#189</t>
  </si>
  <si>
    <t>#190</t>
  </si>
  <si>
    <t>#191</t>
  </si>
  <si>
    <t>#192</t>
  </si>
  <si>
    <t>#193</t>
  </si>
  <si>
    <t>#194</t>
  </si>
  <si>
    <t>#195</t>
  </si>
  <si>
    <t>#196</t>
  </si>
  <si>
    <t>#197</t>
  </si>
  <si>
    <t>#198</t>
  </si>
  <si>
    <t>#199</t>
  </si>
  <si>
    <t>#200</t>
  </si>
  <si>
    <t>#201</t>
  </si>
  <si>
    <t>#202</t>
  </si>
  <si>
    <t>#203</t>
  </si>
  <si>
    <t>#204</t>
  </si>
  <si>
    <t>#205</t>
  </si>
  <si>
    <t>#206</t>
  </si>
  <si>
    <t>#207</t>
  </si>
  <si>
    <t>#208</t>
  </si>
  <si>
    <t>#209</t>
  </si>
  <si>
    <t>#210</t>
  </si>
  <si>
    <t>#211</t>
  </si>
  <si>
    <t>#212</t>
  </si>
  <si>
    <t>#213</t>
  </si>
  <si>
    <t>#214</t>
  </si>
  <si>
    <t>#215</t>
  </si>
  <si>
    <t>#216</t>
  </si>
  <si>
    <t>#217</t>
  </si>
  <si>
    <t>#218</t>
  </si>
  <si>
    <t>#219</t>
  </si>
  <si>
    <t>#220</t>
  </si>
  <si>
    <t>#221</t>
  </si>
  <si>
    <t>#222</t>
  </si>
  <si>
    <t>#223</t>
  </si>
  <si>
    <t>#224</t>
  </si>
  <si>
    <t>#225</t>
  </si>
  <si>
    <t>#226</t>
  </si>
  <si>
    <t>#227</t>
  </si>
  <si>
    <t>#228</t>
  </si>
  <si>
    <t>#229</t>
  </si>
  <si>
    <t>#230</t>
  </si>
  <si>
    <t>#231</t>
  </si>
  <si>
    <t>#232</t>
  </si>
  <si>
    <t>#233</t>
  </si>
  <si>
    <t>#234</t>
  </si>
  <si>
    <t>#235</t>
  </si>
  <si>
    <t>#236</t>
  </si>
  <si>
    <t>#237</t>
  </si>
  <si>
    <t>#238</t>
  </si>
  <si>
    <t>#239</t>
  </si>
  <si>
    <t>#240</t>
  </si>
  <si>
    <t>#241</t>
  </si>
  <si>
    <t>#242</t>
  </si>
  <si>
    <t>#243</t>
  </si>
  <si>
    <t>#244</t>
  </si>
  <si>
    <t>#245</t>
  </si>
  <si>
    <t>#246</t>
  </si>
  <si>
    <t>#247</t>
  </si>
  <si>
    <t>#248</t>
  </si>
  <si>
    <t>#249</t>
  </si>
  <si>
    <t>#250</t>
  </si>
  <si>
    <t>#251</t>
  </si>
  <si>
    <t>#252</t>
  </si>
  <si>
    <t>#253</t>
  </si>
  <si>
    <t>#254</t>
  </si>
  <si>
    <t>#255</t>
  </si>
  <si>
    <t>#256</t>
  </si>
  <si>
    <t>#257</t>
  </si>
  <si>
    <t>#258</t>
  </si>
  <si>
    <t>#259</t>
  </si>
  <si>
    <t>#260</t>
  </si>
  <si>
    <t>#261</t>
  </si>
  <si>
    <t>#262</t>
  </si>
  <si>
    <t>#263</t>
  </si>
  <si>
    <t>#264</t>
  </si>
  <si>
    <t>#265</t>
  </si>
  <si>
    <t>#266</t>
  </si>
  <si>
    <t>#267</t>
  </si>
  <si>
    <t>#268</t>
  </si>
  <si>
    <t>#269</t>
  </si>
  <si>
    <t>#270</t>
  </si>
  <si>
    <t>#271</t>
  </si>
  <si>
    <t>#272</t>
  </si>
  <si>
    <t>#273</t>
  </si>
  <si>
    <t>#274</t>
  </si>
  <si>
    <t>#275</t>
  </si>
  <si>
    <t>#276</t>
  </si>
  <si>
    <t>#277</t>
  </si>
  <si>
    <t>#278</t>
  </si>
  <si>
    <t>#279</t>
  </si>
  <si>
    <t>#280</t>
  </si>
  <si>
    <t>#281</t>
  </si>
  <si>
    <t>#282</t>
  </si>
  <si>
    <t>#283</t>
  </si>
  <si>
    <t>#284</t>
  </si>
  <si>
    <t>#285</t>
  </si>
  <si>
    <t>#286</t>
  </si>
  <si>
    <t>#287</t>
  </si>
  <si>
    <t>#288</t>
  </si>
  <si>
    <t>#289</t>
  </si>
  <si>
    <t>#290</t>
  </si>
  <si>
    <t>#291</t>
  </si>
  <si>
    <t>#292</t>
  </si>
  <si>
    <t>#293</t>
  </si>
  <si>
    <t>#294</t>
  </si>
  <si>
    <t>#295</t>
  </si>
  <si>
    <t>#296</t>
  </si>
  <si>
    <t>#297</t>
  </si>
  <si>
    <t>#298</t>
  </si>
  <si>
    <t>#299</t>
  </si>
  <si>
    <t>#300</t>
  </si>
  <si>
    <t>#301</t>
  </si>
  <si>
    <t>#302</t>
  </si>
  <si>
    <t>#303</t>
  </si>
  <si>
    <t>#304</t>
  </si>
  <si>
    <t>#305</t>
  </si>
  <si>
    <t>#306</t>
  </si>
  <si>
    <t>#307</t>
  </si>
  <si>
    <t>#308</t>
  </si>
  <si>
    <t>#309</t>
  </si>
  <si>
    <t>#310</t>
  </si>
  <si>
    <t>#311</t>
  </si>
  <si>
    <t>#312</t>
  </si>
  <si>
    <t>#313</t>
  </si>
  <si>
    <t>#314</t>
  </si>
  <si>
    <t>#315</t>
  </si>
  <si>
    <t>#316</t>
  </si>
  <si>
    <t>#317</t>
  </si>
  <si>
    <t>#318</t>
  </si>
  <si>
    <t>#319</t>
  </si>
  <si>
    <t>#320</t>
  </si>
  <si>
    <t>#321</t>
  </si>
  <si>
    <t>#322</t>
  </si>
  <si>
    <t>#323</t>
  </si>
  <si>
    <t>#324</t>
  </si>
  <si>
    <t>#325</t>
  </si>
  <si>
    <t>#326</t>
  </si>
  <si>
    <t>#327</t>
  </si>
  <si>
    <t>#328</t>
  </si>
  <si>
    <t>#329</t>
  </si>
  <si>
    <t>#330</t>
  </si>
  <si>
    <t>#331</t>
  </si>
  <si>
    <t>#332</t>
  </si>
  <si>
    <t>#333</t>
  </si>
  <si>
    <t>#334</t>
  </si>
  <si>
    <t>#335</t>
  </si>
  <si>
    <t>#336</t>
  </si>
  <si>
    <t>#337</t>
  </si>
  <si>
    <t>#338</t>
  </si>
  <si>
    <t>#339</t>
  </si>
  <si>
    <t>#340</t>
  </si>
  <si>
    <t>#341</t>
  </si>
  <si>
    <t>#342</t>
  </si>
  <si>
    <t>#343</t>
  </si>
  <si>
    <t>#344</t>
  </si>
  <si>
    <t>#345</t>
  </si>
  <si>
    <t>#346</t>
  </si>
  <si>
    <t>#347</t>
  </si>
  <si>
    <t>#348</t>
  </si>
  <si>
    <t>#349</t>
  </si>
  <si>
    <t>#350</t>
  </si>
  <si>
    <t>#351</t>
  </si>
  <si>
    <t>#352</t>
  </si>
  <si>
    <t>#353</t>
  </si>
  <si>
    <t>#354</t>
  </si>
  <si>
    <t>#355</t>
  </si>
  <si>
    <t>#356</t>
  </si>
  <si>
    <t>#357</t>
  </si>
  <si>
    <t>#358</t>
  </si>
  <si>
    <t>#359</t>
  </si>
  <si>
    <t>#360</t>
  </si>
  <si>
    <t>#361</t>
  </si>
  <si>
    <t>#362</t>
  </si>
  <si>
    <t>#363</t>
  </si>
  <si>
    <t>#364</t>
  </si>
  <si>
    <t>#365</t>
  </si>
  <si>
    <t>#366</t>
  </si>
  <si>
    <t>#367</t>
  </si>
  <si>
    <t>#368</t>
  </si>
  <si>
    <t>#369</t>
  </si>
  <si>
    <t>#370</t>
  </si>
  <si>
    <t>#371</t>
  </si>
  <si>
    <t>#372</t>
  </si>
  <si>
    <t>#373</t>
  </si>
  <si>
    <t>#374</t>
  </si>
  <si>
    <t>#375</t>
  </si>
  <si>
    <t>#376</t>
  </si>
  <si>
    <t>#377</t>
  </si>
  <si>
    <t>#378</t>
  </si>
  <si>
    <t>#379</t>
  </si>
  <si>
    <t>#380</t>
  </si>
  <si>
    <t>#381</t>
  </si>
  <si>
    <t>#382</t>
  </si>
  <si>
    <t>#383</t>
  </si>
  <si>
    <t>#384</t>
  </si>
  <si>
    <t>#385</t>
  </si>
  <si>
    <t>#386</t>
  </si>
  <si>
    <t>#387</t>
  </si>
  <si>
    <t>#388</t>
  </si>
  <si>
    <t>#389</t>
  </si>
  <si>
    <t>#390</t>
  </si>
  <si>
    <t>#391</t>
  </si>
  <si>
    <t>#392</t>
  </si>
  <si>
    <t>#393</t>
  </si>
  <si>
    <t>#394</t>
  </si>
  <si>
    <t>#395</t>
  </si>
  <si>
    <t>#396</t>
  </si>
  <si>
    <t>#397</t>
  </si>
  <si>
    <t>#398</t>
  </si>
  <si>
    <t>#399</t>
  </si>
  <si>
    <t>#400</t>
  </si>
  <si>
    <t>#401</t>
  </si>
  <si>
    <t>#402</t>
  </si>
  <si>
    <t>#403</t>
  </si>
  <si>
    <t>#404</t>
  </si>
  <si>
    <t>#405</t>
  </si>
  <si>
    <t>#406</t>
  </si>
  <si>
    <t>#407</t>
  </si>
  <si>
    <t>#408</t>
  </si>
  <si>
    <t>#409</t>
  </si>
  <si>
    <t>#410</t>
  </si>
  <si>
    <t>#411</t>
  </si>
  <si>
    <t>#412</t>
  </si>
  <si>
    <t>#413</t>
  </si>
  <si>
    <t>#414</t>
  </si>
  <si>
    <t>#415</t>
  </si>
  <si>
    <t>#416</t>
  </si>
  <si>
    <t>#417</t>
  </si>
  <si>
    <t>#418</t>
  </si>
  <si>
    <t>#419</t>
  </si>
  <si>
    <t>#420</t>
  </si>
  <si>
    <t>#421</t>
  </si>
  <si>
    <t>#422</t>
  </si>
  <si>
    <t>#423</t>
  </si>
  <si>
    <t>#424</t>
  </si>
  <si>
    <t>#425</t>
  </si>
  <si>
    <t>#426</t>
  </si>
  <si>
    <t>#427</t>
  </si>
  <si>
    <t>#428</t>
  </si>
  <si>
    <t>#429</t>
  </si>
  <si>
    <t>#430</t>
  </si>
  <si>
    <t>#431</t>
  </si>
  <si>
    <t>#432</t>
  </si>
  <si>
    <t>#433</t>
  </si>
  <si>
    <t>#434</t>
  </si>
  <si>
    <t>#435</t>
  </si>
  <si>
    <t>#436</t>
  </si>
  <si>
    <t>#437</t>
  </si>
  <si>
    <t>#438</t>
  </si>
  <si>
    <t>#439</t>
  </si>
  <si>
    <t>#440</t>
  </si>
  <si>
    <t>#441</t>
  </si>
  <si>
    <t>#442</t>
  </si>
  <si>
    <t>#443</t>
  </si>
  <si>
    <t>#444</t>
  </si>
  <si>
    <t>#445</t>
  </si>
  <si>
    <t>#446</t>
  </si>
  <si>
    <t>#447</t>
  </si>
  <si>
    <t>#448</t>
  </si>
  <si>
    <t>#449</t>
  </si>
  <si>
    <t>#450</t>
  </si>
  <si>
    <t>#451</t>
  </si>
  <si>
    <t>#452</t>
  </si>
  <si>
    <t>#453</t>
  </si>
  <si>
    <t>#454</t>
  </si>
  <si>
    <t>#455</t>
  </si>
  <si>
    <t>#456</t>
  </si>
  <si>
    <t>#457</t>
  </si>
  <si>
    <t>#458</t>
  </si>
  <si>
    <t>#459</t>
  </si>
  <si>
    <t>#460</t>
  </si>
  <si>
    <t>#461</t>
  </si>
  <si>
    <t>#462</t>
  </si>
  <si>
    <t>#463</t>
  </si>
  <si>
    <t>#464</t>
  </si>
  <si>
    <t>#465</t>
  </si>
  <si>
    <t>#466</t>
  </si>
  <si>
    <t>#467</t>
  </si>
  <si>
    <t>#468</t>
  </si>
  <si>
    <t>#469</t>
  </si>
  <si>
    <t>#470</t>
  </si>
  <si>
    <t>#471</t>
  </si>
  <si>
    <t>#472</t>
  </si>
  <si>
    <t>#473</t>
  </si>
  <si>
    <t>#474</t>
  </si>
  <si>
    <t>#475</t>
  </si>
  <si>
    <t>#476</t>
  </si>
  <si>
    <t>#477</t>
  </si>
  <si>
    <t>#478</t>
  </si>
  <si>
    <t>#479</t>
  </si>
  <si>
    <t>#480</t>
  </si>
  <si>
    <t>#481</t>
  </si>
  <si>
    <t>#482</t>
  </si>
  <si>
    <t>#483</t>
  </si>
  <si>
    <t>#484</t>
  </si>
  <si>
    <t>#485</t>
  </si>
  <si>
    <t>#486</t>
  </si>
  <si>
    <t>#487</t>
  </si>
  <si>
    <t>#488</t>
  </si>
  <si>
    <t>#489</t>
  </si>
  <si>
    <t>#490</t>
  </si>
  <si>
    <t>#491</t>
  </si>
  <si>
    <t>#492</t>
  </si>
  <si>
    <t>#493</t>
  </si>
  <si>
    <t>#494</t>
  </si>
  <si>
    <t>#495</t>
  </si>
  <si>
    <t>#496</t>
  </si>
  <si>
    <t>#497</t>
  </si>
  <si>
    <t>#498</t>
  </si>
  <si>
    <t>#499</t>
  </si>
  <si>
    <t>#500</t>
  </si>
  <si>
    <r>
      <rPr>
        <rFont val="Cambria"/>
        <b/>
        <color theme="1"/>
        <sz val="12.0"/>
      </rPr>
      <t xml:space="preserve">Dato </t>
    </r>
    <r>
      <rPr>
        <rFont val="Wingdings"/>
        <color theme="1"/>
        <sz val="12.0"/>
      </rPr>
      <t></t>
    </r>
  </si>
  <si>
    <r>
      <rPr>
        <rFont val="Cambria"/>
        <b/>
        <color theme="1"/>
        <sz val="12.0"/>
      </rPr>
      <t xml:space="preserve">Forklaring </t>
    </r>
    <r>
      <rPr>
        <rFont val="Wingdings"/>
        <color theme="1"/>
        <sz val="12.0"/>
      </rPr>
      <t></t>
    </r>
  </si>
  <si>
    <t>Startkapital</t>
  </si>
  <si>
    <t>Medlemskontingenter  Juni</t>
  </si>
  <si>
    <t>Merchsalg</t>
  </si>
  <si>
    <t>Omkostninger Juni</t>
  </si>
  <si>
    <t>Dominos</t>
  </si>
  <si>
    <t>Extra Majorstuen</t>
  </si>
  <si>
    <t>YouTube</t>
  </si>
  <si>
    <t>SumUp</t>
  </si>
  <si>
    <t>Waldm. Ellefsen AS</t>
  </si>
  <si>
    <t>Clas Ohlson</t>
  </si>
  <si>
    <t>Microsoft</t>
  </si>
  <si>
    <t>Refusjon Johannes</t>
  </si>
  <si>
    <t>Kiwi Kringsjå</t>
  </si>
  <si>
    <t>Medlemskontingenter Juli</t>
  </si>
  <si>
    <t>Hyttetur</t>
  </si>
  <si>
    <t>Omkostninger Juli</t>
  </si>
  <si>
    <t>Oda</t>
  </si>
  <si>
    <t>Rema 1000 Røakrysset</t>
  </si>
  <si>
    <t>Medlemskontingenter August</t>
  </si>
  <si>
    <t>Omkostninger August</t>
  </si>
  <si>
    <t>Hyperion Øst</t>
  </si>
  <si>
    <t>Oslostudentenes Idrettsklubb</t>
  </si>
  <si>
    <t>Jernia</t>
  </si>
  <si>
    <t>Media Markt P365</t>
  </si>
  <si>
    <t>Hyperion</t>
  </si>
  <si>
    <t>Medlemskontingenter September</t>
  </si>
  <si>
    <t>Omkostninger September</t>
  </si>
  <si>
    <t>Dpl Osl-Sentrum AS</t>
  </si>
  <si>
    <t>Refusjon Bastian</t>
  </si>
  <si>
    <t>Rema 1000 Majorstuen</t>
  </si>
  <si>
    <t>Outland</t>
  </si>
  <si>
    <t>Gamezone</t>
  </si>
  <si>
    <t>IKEA Karl Johan</t>
  </si>
  <si>
    <t>Skandi Mobile Expert</t>
  </si>
  <si>
    <t>Ringo Majorstuen</t>
  </si>
  <si>
    <t>Refusjon Yunting CCC</t>
  </si>
  <si>
    <t>Refusjon Yuyan CCC</t>
  </si>
  <si>
    <t>Medlemskontingenter Oktober</t>
  </si>
  <si>
    <t>Gangfest H25</t>
  </si>
  <si>
    <t>Refusjon Georgy</t>
  </si>
  <si>
    <t>Omkostninger Oktober</t>
  </si>
  <si>
    <t>Alibaba</t>
  </si>
  <si>
    <t>AliExpress</t>
  </si>
  <si>
    <t>Medlemskontingenter November</t>
  </si>
  <si>
    <t>Omkostninger November</t>
  </si>
  <si>
    <t>Meny Colosseum</t>
  </si>
  <si>
    <t>Vinmonopolet</t>
  </si>
  <si>
    <t>BALANSE</t>
  </si>
  <si>
    <t>IB</t>
  </si>
  <si>
    <t>UB</t>
  </si>
  <si>
    <t>+</t>
  </si>
  <si>
    <t>1300 Lån til eksterne</t>
  </si>
  <si>
    <t>1400 Varelager</t>
  </si>
  <si>
    <t>1500 Fordringer</t>
  </si>
  <si>
    <t>1550 Interne fordringer</t>
  </si>
  <si>
    <t>1900 Kontanter</t>
  </si>
  <si>
    <t>1910 Brukskonto</t>
  </si>
  <si>
    <t>1920 Sparekonto</t>
  </si>
  <si>
    <t>-</t>
  </si>
  <si>
    <t>2050 Egenkapital</t>
  </si>
  <si>
    <t>2400 Leverandørgjeld</t>
  </si>
  <si>
    <t>2910 Gjeld til interne (utlegg)</t>
  </si>
  <si>
    <t>2950 Annen gjeld</t>
  </si>
  <si>
    <t>RESULTAT</t>
  </si>
  <si>
    <t>3000 Salgsinntekter</t>
  </si>
  <si>
    <t>3100 Medlemskontingent</t>
  </si>
  <si>
    <t>3200 Billettinntekter</t>
  </si>
  <si>
    <t>3400 Støtte fra Oslostøtte</t>
  </si>
  <si>
    <t>3410 Støtte fra Fri Fond</t>
  </si>
  <si>
    <t>3420 Støtte fra annen støtteordning</t>
  </si>
  <si>
    <t>3900 Annen inntekt</t>
  </si>
  <si>
    <t>8050 Renteinntekter</t>
  </si>
  <si>
    <t>4000 Varekjøp til videresalg</t>
  </si>
  <si>
    <t>4300 Forbruk varelager</t>
  </si>
  <si>
    <t>4390 Beholdningsendring varer</t>
  </si>
  <si>
    <t>5000 Skattefritt honorar, interne</t>
  </si>
  <si>
    <t>5050 Skattefritt honorar, eksterne</t>
  </si>
  <si>
    <t>5700 Støtte til andre foreninger</t>
  </si>
  <si>
    <t>5900 Gaver ansatte</t>
  </si>
  <si>
    <t>5910 Mat og drikke til frivillige</t>
  </si>
  <si>
    <t>5920 Mat og drikke til styret</t>
  </si>
  <si>
    <t>6300 Leie av lokaler</t>
  </si>
  <si>
    <t>6450 Inventar</t>
  </si>
  <si>
    <t>6550 Driftsmaterialer</t>
  </si>
  <si>
    <t>6551 Datautstyr</t>
  </si>
  <si>
    <t>6552 Programvarer</t>
  </si>
  <si>
    <t>6560 Rekvisita</t>
  </si>
  <si>
    <t>6590 Annen driftskostnad</t>
  </si>
  <si>
    <t>6720 Økonomiske og juridiske tjenester</t>
  </si>
  <si>
    <t>6750 Arrangementkostnader</t>
  </si>
  <si>
    <t>6755 Artist/underholdningshonorar</t>
  </si>
  <si>
    <t>6790 Andre fremmedtjenester</t>
  </si>
  <si>
    <t>6800 Kontorrekvisita</t>
  </si>
  <si>
    <t>6815 Internett</t>
  </si>
  <si>
    <t>6890 Annen kontorkostnad</t>
  </si>
  <si>
    <t>6900 Telefon</t>
  </si>
  <si>
    <t>6940 Porto</t>
  </si>
  <si>
    <t>7100 Reisekostnad</t>
  </si>
  <si>
    <t>7300 Markedsføring og representasjon</t>
  </si>
  <si>
    <t>7600 Lisensavgift og royalties</t>
  </si>
  <si>
    <t>7740 Øredifferanse</t>
  </si>
  <si>
    <t>7770 Bank og kortgebyrer</t>
  </si>
  <si>
    <t>7790 Annen kostnad, fradragsberettiget</t>
  </si>
  <si>
    <t>8150 Rentekostnader</t>
  </si>
  <si>
    <t>8950 Disponering årsresultat</t>
  </si>
  <si>
    <t>SUM</t>
  </si>
  <si>
    <t>RESULTATRAPPORT</t>
  </si>
  <si>
    <t>Sum utgifter</t>
  </si>
  <si>
    <t xml:space="preserve">BUDSJETT </t>
  </si>
  <si>
    <t>Vår 2026</t>
  </si>
  <si>
    <t>Kommentar</t>
  </si>
  <si>
    <t>Forventer ikke noe støtte neste semester</t>
  </si>
  <si>
    <t>Refunds</t>
  </si>
  <si>
    <t>Det var crazy week uka gangfest tok sted</t>
  </si>
  <si>
    <t>FLERE BRETTSPILL*!!! (*: og andre ting)</t>
  </si>
  <si>
    <t>Oppgradere pc-er</t>
  </si>
  <si>
    <t>Årlig PS-plus + månedlig game pass</t>
  </si>
  <si>
    <t>Tilbakebetaling til Hyperion</t>
  </si>
  <si>
    <t>STORE PLANER FOR KONTORET!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</si>
</sst>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_ ;\-#,##0.00\ "/>
    <numFmt numFmtId="165" formatCode="_(* #,##0.00_);_(* \(#,##0.00\);_(* &quot;-&quot;??_);_(@_)"/>
    <numFmt numFmtId="166" formatCode="_ * #,##0.00_ ;_ * \-#,##0.00_ ;_ * &quot;-&quot;??_ ;_ @_ "/>
  </numFmts>
  <fonts count="25">
    <font>
      <sz val="11.0"/>
      <color theme="1"/>
      <name val="Calibri"/>
      <scheme val="minor"/>
    </font>
    <font>
      <i/>
      <sz val="11.0"/>
      <color theme="1"/>
      <name val="Calibri"/>
    </font>
    <font>
      <sz val="11.0"/>
      <color theme="1"/>
      <name val="Calibri"/>
    </font>
    <font>
      <b/>
      <sz val="12.0"/>
      <color rgb="FF833C0B"/>
      <name val="Cambria"/>
    </font>
    <font>
      <b/>
      <sz val="24.0"/>
      <color theme="0"/>
      <name val="Cambria"/>
    </font>
    <font/>
    <font>
      <sz val="12.0"/>
      <color theme="1"/>
      <name val="Cambria"/>
    </font>
    <font>
      <b/>
      <sz val="16.0"/>
      <color theme="1"/>
      <name val="Cambria"/>
    </font>
    <font>
      <b/>
      <sz val="12.0"/>
      <color theme="1"/>
      <name val="Cambria"/>
    </font>
    <font>
      <sz val="12.0"/>
      <color rgb="FF0C0C0C"/>
      <name val="Cambria"/>
    </font>
    <font>
      <b/>
      <sz val="12.0"/>
      <color rgb="FF9CC2E5"/>
      <name val="Cambria"/>
    </font>
    <font>
      <i/>
      <sz val="12.0"/>
      <color theme="1"/>
      <name val="Cambria"/>
    </font>
    <font>
      <b/>
      <sz val="12.0"/>
      <color theme="0"/>
      <name val="Cambria"/>
    </font>
    <font>
      <sz val="12.0"/>
      <color theme="0"/>
      <name val="Cambria"/>
    </font>
    <font>
      <b/>
      <sz val="12.0"/>
      <color rgb="FFFFFFFF"/>
      <name val="Cambria"/>
    </font>
    <font>
      <i/>
      <sz val="9.0"/>
      <color theme="1"/>
      <name val="Cambria"/>
    </font>
    <font>
      <b/>
      <sz val="14.0"/>
      <color theme="1"/>
      <name val="Cambria"/>
    </font>
    <font>
      <b/>
      <i/>
      <sz val="12.0"/>
      <color theme="1"/>
      <name val="Cambria"/>
    </font>
    <font>
      <sz val="12.0"/>
      <color rgb="FF000000"/>
      <name val="Cambria"/>
    </font>
    <font>
      <sz val="12.0"/>
      <color rgb="FFFF0000"/>
      <name val="Cambria"/>
    </font>
    <font>
      <b/>
      <sz val="12.0"/>
      <color rgb="FF1E4E79"/>
      <name val="Cambria"/>
    </font>
    <font>
      <b/>
      <sz val="16.0"/>
      <color theme="0"/>
      <name val="Cambria"/>
    </font>
    <font>
      <sz val="10.0"/>
      <color theme="1"/>
      <name val="Cambria"/>
    </font>
    <font>
      <b/>
      <sz val="10.0"/>
      <color theme="1"/>
      <name val="Cambria"/>
    </font>
    <font>
      <sz val="16.0"/>
      <color theme="0"/>
      <name val="Cambria"/>
    </font>
  </fonts>
  <fills count="16">
    <fill>
      <patternFill patternType="none"/>
    </fill>
    <fill>
      <patternFill patternType="lightGray"/>
    </fill>
    <fill>
      <patternFill patternType="solid">
        <fgColor rgb="FFAEABAB"/>
        <bgColor rgb="FFAEABAB"/>
      </patternFill>
    </fill>
    <fill>
      <patternFill patternType="solid">
        <fgColor rgb="FF833C0B"/>
        <bgColor rgb="FF833C0B"/>
      </patternFill>
    </fill>
    <fill>
      <patternFill patternType="solid">
        <fgColor rgb="FF1E4E79"/>
        <bgColor rgb="FF1E4E79"/>
      </patternFill>
    </fill>
    <fill>
      <patternFill patternType="solid">
        <fgColor rgb="FFF4B083"/>
        <bgColor rgb="FFF4B083"/>
      </patternFill>
    </fill>
    <fill>
      <patternFill patternType="solid">
        <fgColor rgb="FF9CC2E5"/>
        <bgColor rgb="FF9CC2E5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548135"/>
        <bgColor rgb="FF548135"/>
      </patternFill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</fills>
  <borders count="82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hair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</border>
    <border>
      <left style="medium">
        <color rgb="FF000000"/>
      </left>
      <top style="hair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</border>
    <border>
      <left style="thin">
        <color rgb="FF000000"/>
      </left>
      <right style="medium">
        <color rgb="FF000000"/>
      </right>
      <top/>
    </border>
    <border>
      <left style="medium">
        <color rgb="FF000000"/>
      </left>
      <right/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/>
    </border>
    <border>
      <top/>
    </border>
    <border>
      <right/>
      <top/>
    </border>
    <border>
      <right/>
    </border>
    <border>
      <left style="thin">
        <color rgb="FF000000"/>
      </left>
      <bottom/>
    </border>
    <border>
      <bottom/>
    </border>
    <border>
      <right/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1" fillId="2" fontId="1" numFmtId="4" xfId="0" applyBorder="1" applyFill="1" applyFont="1" applyNumberFormat="1"/>
    <xf borderId="1" fillId="2" fontId="2" numFmtId="4" xfId="0" applyBorder="1" applyFont="1" applyNumberFormat="1"/>
    <xf borderId="2" fillId="0" fontId="3" numFmtId="4" xfId="0" applyAlignment="1" applyBorder="1" applyFont="1" applyNumberFormat="1">
      <alignment horizontal="center" vertical="center"/>
    </xf>
    <xf borderId="3" fillId="0" fontId="2" numFmtId="4" xfId="0" applyBorder="1" applyFont="1" applyNumberFormat="1"/>
    <xf borderId="4" fillId="0" fontId="2" numFmtId="4" xfId="0" applyBorder="1" applyFont="1" applyNumberFormat="1"/>
    <xf borderId="0" fillId="0" fontId="2" numFmtId="4" xfId="0" applyFont="1" applyNumberFormat="1"/>
    <xf borderId="5" fillId="0" fontId="2" numFmtId="4" xfId="0" applyBorder="1" applyFont="1" applyNumberFormat="1"/>
    <xf borderId="2" fillId="3" fontId="4" numFmtId="4" xfId="0" applyAlignment="1" applyBorder="1" applyFill="1" applyFont="1" applyNumberFormat="1">
      <alignment horizontal="center" vertical="center"/>
    </xf>
    <xf borderId="4" fillId="0" fontId="5" numFmtId="0" xfId="0" applyBorder="1" applyFont="1"/>
    <xf borderId="0" fillId="0" fontId="6" numFmtId="4" xfId="0" applyFont="1" applyNumberFormat="1"/>
    <xf borderId="2" fillId="4" fontId="4" numFmtId="4" xfId="0" applyAlignment="1" applyBorder="1" applyFill="1" applyFont="1" applyNumberFormat="1">
      <alignment horizontal="center" vertical="center"/>
    </xf>
    <xf borderId="6" fillId="0" fontId="2" numFmtId="4" xfId="0" applyBorder="1" applyFont="1" applyNumberForma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2" fillId="5" fontId="7" numFmtId="0" xfId="0" applyAlignment="1" applyBorder="1" applyFill="1" applyFont="1">
      <alignment horizontal="center" readingOrder="0" vertical="center"/>
    </xf>
    <xf borderId="0" fillId="0" fontId="6" numFmtId="49" xfId="0" applyFont="1" applyNumberFormat="1"/>
    <xf borderId="2" fillId="6" fontId="7" numFmtId="0" xfId="0" applyAlignment="1" applyBorder="1" applyFill="1" applyFont="1">
      <alignment horizontal="center" vertical="center"/>
    </xf>
    <xf borderId="9" fillId="7" fontId="8" numFmtId="4" xfId="0" applyBorder="1" applyFill="1" applyFont="1" applyNumberFormat="1"/>
    <xf borderId="10" fillId="7" fontId="8" numFmtId="4" xfId="0" applyAlignment="1" applyBorder="1" applyFont="1" applyNumberFormat="1">
      <alignment horizontal="center"/>
    </xf>
    <xf borderId="9" fillId="8" fontId="8" numFmtId="4" xfId="0" applyBorder="1" applyFill="1" applyFont="1" applyNumberFormat="1"/>
    <xf borderId="10" fillId="8" fontId="8" numFmtId="4" xfId="0" applyAlignment="1" applyBorder="1" applyFont="1" applyNumberFormat="1">
      <alignment horizontal="center"/>
    </xf>
    <xf borderId="11" fillId="0" fontId="9" numFmtId="4" xfId="0" applyBorder="1" applyFont="1" applyNumberFormat="1"/>
    <xf borderId="12" fillId="0" fontId="9" numFmtId="4" xfId="0" applyBorder="1" applyFont="1" applyNumberFormat="1"/>
    <xf borderId="0" fillId="0" fontId="9" numFmtId="4" xfId="0" applyFont="1" applyNumberFormat="1"/>
    <xf borderId="13" fillId="0" fontId="9" numFmtId="4" xfId="0" applyBorder="1" applyFont="1" applyNumberFormat="1"/>
    <xf borderId="14" fillId="0" fontId="9" numFmtId="4" xfId="0" applyBorder="1" applyFont="1" applyNumberFormat="1"/>
    <xf borderId="15" fillId="0" fontId="9" numFmtId="4" xfId="0" applyBorder="1" applyFont="1" applyNumberFormat="1"/>
    <xf borderId="13" fillId="0" fontId="6" numFmtId="4" xfId="0" applyBorder="1" applyFont="1" applyNumberFormat="1"/>
    <xf borderId="14" fillId="0" fontId="6" numFmtId="4" xfId="0" applyBorder="1" applyFont="1" applyNumberFormat="1"/>
    <xf borderId="16" fillId="0" fontId="8" numFmtId="4" xfId="0" applyBorder="1" applyFont="1" applyNumberFormat="1"/>
    <xf borderId="10" fillId="0" fontId="8" numFmtId="4" xfId="0" applyBorder="1" applyFont="1" applyNumberFormat="1"/>
    <xf borderId="13" fillId="0" fontId="8" numFmtId="4" xfId="0" applyBorder="1" applyFont="1" applyNumberFormat="1"/>
    <xf borderId="14" fillId="0" fontId="8" numFmtId="4" xfId="0" applyBorder="1" applyFont="1" applyNumberFormat="1"/>
    <xf borderId="7" fillId="0" fontId="6" numFmtId="4" xfId="0" applyAlignment="1" applyBorder="1" applyFont="1" applyNumberFormat="1">
      <alignment horizontal="center"/>
    </xf>
    <xf borderId="11" fillId="0" fontId="6" numFmtId="4" xfId="0" applyBorder="1" applyFont="1" applyNumberFormat="1"/>
    <xf borderId="12" fillId="0" fontId="6" numFmtId="4" xfId="0" applyBorder="1" applyFont="1" applyNumberFormat="1"/>
    <xf borderId="17" fillId="0" fontId="6" numFmtId="4" xfId="0" applyBorder="1" applyFont="1" applyNumberFormat="1"/>
    <xf borderId="6" fillId="0" fontId="10" numFmtId="4" xfId="0" applyAlignment="1" applyBorder="1" applyFont="1" applyNumberFormat="1">
      <alignment horizontal="center" vertical="center"/>
    </xf>
    <xf borderId="0" fillId="0" fontId="11" numFmtId="4" xfId="0" applyFont="1" applyNumberFormat="1"/>
    <xf borderId="16" fillId="0" fontId="6" numFmtId="4" xfId="0" applyAlignment="1" applyBorder="1" applyFont="1" applyNumberFormat="1">
      <alignment horizontal="center"/>
    </xf>
    <xf borderId="18" fillId="0" fontId="5" numFmtId="0" xfId="0" applyBorder="1" applyFont="1"/>
    <xf borderId="19" fillId="5" fontId="7" numFmtId="4" xfId="0" applyAlignment="1" applyBorder="1" applyFont="1" applyNumberFormat="1">
      <alignment horizontal="center" vertical="center"/>
    </xf>
    <xf borderId="20" fillId="5" fontId="7" numFmtId="4" xfId="0" applyAlignment="1" applyBorder="1" applyFont="1" applyNumberFormat="1">
      <alignment horizontal="center" vertical="center"/>
    </xf>
    <xf borderId="21" fillId="0" fontId="5" numFmtId="0" xfId="0" applyBorder="1" applyFont="1"/>
    <xf borderId="22" fillId="0" fontId="5" numFmtId="0" xfId="0" applyBorder="1" applyFont="1"/>
    <xf borderId="7" fillId="0" fontId="2" numFmtId="4" xfId="0" applyBorder="1" applyFont="1" applyNumberFormat="1"/>
    <xf borderId="23" fillId="0" fontId="2" numFmtId="4" xfId="0" applyBorder="1" applyFont="1" applyNumberFormat="1"/>
    <xf borderId="8" fillId="0" fontId="2" numFmtId="4" xfId="0" applyBorder="1" applyFont="1" applyNumberFormat="1"/>
    <xf borderId="24" fillId="4" fontId="12" numFmtId="4" xfId="0" applyAlignment="1" applyBorder="1" applyFont="1" applyNumberFormat="1">
      <alignment horizontal="center" shrinkToFit="0" vertical="center" wrapText="1"/>
    </xf>
    <xf borderId="25" fillId="4" fontId="12" numFmtId="4" xfId="0" applyAlignment="1" applyBorder="1" applyFont="1" applyNumberFormat="1">
      <alignment horizontal="center" vertical="center"/>
    </xf>
    <xf borderId="26" fillId="4" fontId="12" numFmtId="4" xfId="0" applyAlignment="1" applyBorder="1" applyFont="1" applyNumberFormat="1">
      <alignment horizontal="center" vertical="center"/>
    </xf>
    <xf borderId="27" fillId="4" fontId="13" numFmtId="4" xfId="0" applyAlignment="1" applyBorder="1" applyFont="1" applyNumberFormat="1">
      <alignment horizontal="center" vertical="center"/>
    </xf>
    <xf borderId="24" fillId="4" fontId="12" numFmtId="4" xfId="0" applyAlignment="1" applyBorder="1" applyFont="1" applyNumberFormat="1">
      <alignment horizontal="center" vertical="center"/>
    </xf>
    <xf borderId="24" fillId="4" fontId="14" numFmtId="4" xfId="0" applyAlignment="1" applyBorder="1" applyFont="1" applyNumberFormat="1">
      <alignment horizontal="center" readingOrder="0" vertical="center"/>
    </xf>
    <xf borderId="22" fillId="0" fontId="12" numFmtId="4" xfId="0" applyAlignment="1" applyBorder="1" applyFont="1" applyNumberFormat="1">
      <alignment shrinkToFit="0" vertical="center" wrapText="1"/>
    </xf>
    <xf borderId="16" fillId="0" fontId="6" numFmtId="4" xfId="0" applyAlignment="1" applyBorder="1" applyFont="1" applyNumberFormat="1">
      <alignment horizontal="center" vertical="center"/>
    </xf>
    <xf borderId="28" fillId="0" fontId="6" numFmtId="4" xfId="0" applyAlignment="1" applyBorder="1" applyFont="1" applyNumberFormat="1">
      <alignment horizontal="center" vertical="center"/>
    </xf>
    <xf borderId="18" fillId="0" fontId="6" numFmtId="4" xfId="0" applyAlignment="1" applyBorder="1" applyFont="1" applyNumberFormat="1">
      <alignment horizontal="center" vertical="center"/>
    </xf>
    <xf borderId="10" fillId="0" fontId="11" numFmtId="14" xfId="0" applyAlignment="1" applyBorder="1" applyFont="1" applyNumberFormat="1">
      <alignment horizontal="center" readingOrder="0" vertical="center"/>
    </xf>
    <xf borderId="10" fillId="0" fontId="11" numFmtId="14" xfId="0" applyAlignment="1" applyBorder="1" applyFont="1" applyNumberFormat="1">
      <alignment horizontal="center" vertical="center"/>
    </xf>
    <xf borderId="0" fillId="0" fontId="2" numFmtId="14" xfId="0" applyFont="1" applyNumberFormat="1"/>
    <xf borderId="29" fillId="9" fontId="8" numFmtId="4" xfId="0" applyAlignment="1" applyBorder="1" applyFill="1" applyFont="1" applyNumberFormat="1">
      <alignment horizontal="center" shrinkToFit="0" vertical="center" wrapText="1"/>
    </xf>
    <xf borderId="10" fillId="0" fontId="15" numFmtId="4" xfId="0" applyAlignment="1" applyBorder="1" applyFont="1" applyNumberFormat="1">
      <alignment horizontal="center" readingOrder="0" shrinkToFit="0" vertical="center" wrapText="1"/>
    </xf>
    <xf borderId="0" fillId="0" fontId="15" numFmtId="4" xfId="0" applyAlignment="1" applyFont="1" applyNumberFormat="1">
      <alignment horizontal="center" readingOrder="0" shrinkToFit="0" vertical="center" wrapText="1"/>
    </xf>
    <xf borderId="10" fillId="0" fontId="15" numFmtId="4" xfId="0" applyAlignment="1" applyBorder="1" applyFont="1" applyNumberFormat="1">
      <alignment horizontal="center" shrinkToFit="0" vertical="center" wrapText="1"/>
    </xf>
    <xf borderId="29" fillId="9" fontId="16" numFmtId="4" xfId="0" applyAlignment="1" applyBorder="1" applyFont="1" applyNumberFormat="1">
      <alignment horizontal="center"/>
    </xf>
    <xf borderId="9" fillId="6" fontId="8" numFmtId="4" xfId="0" applyAlignment="1" applyBorder="1" applyFont="1" applyNumberFormat="1">
      <alignment horizontal="center"/>
    </xf>
    <xf borderId="9" fillId="8" fontId="17" numFmtId="4" xfId="0" applyBorder="1" applyFont="1" applyNumberFormat="1"/>
    <xf borderId="9" fillId="8" fontId="6" numFmtId="4" xfId="0" applyBorder="1" applyFont="1" applyNumberFormat="1"/>
    <xf borderId="12" fillId="9" fontId="16" numFmtId="4" xfId="0" applyAlignment="1" applyBorder="1" applyFont="1" applyNumberFormat="1">
      <alignment horizontal="center"/>
    </xf>
    <xf borderId="12" fillId="10" fontId="11" numFmtId="4" xfId="0" applyBorder="1" applyFill="1" applyFont="1" applyNumberFormat="1"/>
    <xf borderId="14" fillId="11" fontId="6" numFmtId="4" xfId="0" applyBorder="1" applyFill="1" applyFont="1" applyNumberFormat="1"/>
    <xf borderId="12" fillId="0" fontId="6" numFmtId="4" xfId="0" applyAlignment="1" applyBorder="1" applyFont="1" applyNumberFormat="1">
      <alignment horizontal="right"/>
    </xf>
    <xf borderId="30" fillId="9" fontId="16" numFmtId="4" xfId="0" applyAlignment="1" applyBorder="1" applyFont="1" applyNumberFormat="1">
      <alignment horizontal="center"/>
    </xf>
    <xf borderId="30" fillId="10" fontId="11" numFmtId="4" xfId="0" applyBorder="1" applyFont="1" applyNumberFormat="1"/>
    <xf borderId="31" fillId="0" fontId="6" numFmtId="4" xfId="0" applyBorder="1" applyFont="1" applyNumberFormat="1"/>
    <xf borderId="31" fillId="0" fontId="6" numFmtId="4" xfId="0" applyAlignment="1" applyBorder="1" applyFont="1" applyNumberFormat="1">
      <alignment horizontal="right"/>
    </xf>
    <xf borderId="14" fillId="9" fontId="16" numFmtId="4" xfId="0" applyAlignment="1" applyBorder="1" applyFont="1" applyNumberFormat="1">
      <alignment horizontal="center"/>
    </xf>
    <xf borderId="14" fillId="10" fontId="11" numFmtId="4" xfId="0" applyBorder="1" applyFont="1" applyNumberFormat="1"/>
    <xf borderId="14" fillId="0" fontId="6" numFmtId="4" xfId="0" applyAlignment="1" applyBorder="1" applyFont="1" applyNumberFormat="1">
      <alignment horizontal="right"/>
    </xf>
    <xf borderId="14" fillId="0" fontId="6" numFmtId="4" xfId="0" applyAlignment="1" applyBorder="1" applyFont="1" applyNumberFormat="1">
      <alignment readingOrder="0"/>
    </xf>
    <xf borderId="14" fillId="0" fontId="6" numFmtId="0" xfId="0" applyAlignment="1" applyBorder="1" applyFont="1">
      <alignment readingOrder="0"/>
    </xf>
    <xf borderId="10" fillId="8" fontId="17" numFmtId="4" xfId="0" applyAlignment="1" applyBorder="1" applyFont="1" applyNumberFormat="1">
      <alignment horizontal="center"/>
    </xf>
    <xf borderId="10" fillId="8" fontId="6" numFmtId="4" xfId="0" applyAlignment="1" applyBorder="1" applyFont="1" applyNumberFormat="1">
      <alignment horizontal="center"/>
    </xf>
    <xf borderId="12" fillId="0" fontId="6" numFmtId="4" xfId="0" applyAlignment="1" applyBorder="1" applyFont="1" applyNumberFormat="1">
      <alignment readingOrder="0"/>
    </xf>
    <xf borderId="32" fillId="9" fontId="16" numFmtId="4" xfId="0" applyAlignment="1" applyBorder="1" applyFont="1" applyNumberFormat="1">
      <alignment horizontal="center"/>
    </xf>
    <xf borderId="15" fillId="0" fontId="6" numFmtId="4" xfId="0" applyBorder="1" applyFont="1" applyNumberFormat="1"/>
    <xf borderId="32" fillId="10" fontId="11" numFmtId="4" xfId="0" applyBorder="1" applyFont="1" applyNumberFormat="1"/>
    <xf borderId="33" fillId="0" fontId="6" numFmtId="4" xfId="0" applyBorder="1" applyFont="1" applyNumberFormat="1"/>
    <xf borderId="33" fillId="0" fontId="6" numFmtId="4" xfId="0" applyAlignment="1" applyBorder="1" applyFont="1" applyNumberFormat="1">
      <alignment horizontal="right"/>
    </xf>
    <xf borderId="34" fillId="9" fontId="16" numFmtId="4" xfId="0" applyAlignment="1" applyBorder="1" applyFont="1" applyNumberFormat="1">
      <alignment horizontal="center"/>
    </xf>
    <xf borderId="35" fillId="0" fontId="6" numFmtId="4" xfId="0" applyBorder="1" applyFont="1" applyNumberFormat="1"/>
    <xf borderId="34" fillId="10" fontId="11" numFmtId="4" xfId="0" applyBorder="1" applyFont="1" applyNumberFormat="1"/>
    <xf borderId="34" fillId="0" fontId="6" numFmtId="4" xfId="0" applyBorder="1" applyFont="1" applyNumberFormat="1"/>
    <xf borderId="34" fillId="0" fontId="6" numFmtId="4" xfId="0" applyAlignment="1" applyBorder="1" applyFont="1" applyNumberFormat="1">
      <alignment horizontal="right"/>
    </xf>
    <xf borderId="9" fillId="5" fontId="8" numFmtId="4" xfId="0" applyAlignment="1" applyBorder="1" applyFont="1" applyNumberFormat="1">
      <alignment horizontal="center"/>
    </xf>
    <xf borderId="36" fillId="5" fontId="8" numFmtId="4" xfId="0" applyAlignment="1" applyBorder="1" applyFont="1" applyNumberFormat="1">
      <alignment horizontal="center"/>
    </xf>
    <xf borderId="36" fillId="5" fontId="6" numFmtId="4" xfId="0" applyAlignment="1" applyBorder="1" applyFont="1" applyNumberFormat="1">
      <alignment horizontal="center"/>
    </xf>
    <xf borderId="9" fillId="7" fontId="17" numFmtId="4" xfId="0" applyBorder="1" applyFont="1" applyNumberFormat="1"/>
    <xf borderId="10" fillId="7" fontId="17" numFmtId="4" xfId="0" applyAlignment="1" applyBorder="1" applyFont="1" applyNumberFormat="1">
      <alignment horizontal="center"/>
    </xf>
    <xf borderId="10" fillId="7" fontId="6" numFmtId="4" xfId="0" applyAlignment="1" applyBorder="1" applyFont="1" applyNumberFormat="1">
      <alignment horizontal="center"/>
    </xf>
    <xf borderId="11" fillId="0" fontId="18" numFmtId="4" xfId="0" applyBorder="1" applyFont="1" applyNumberFormat="1"/>
    <xf borderId="13" fillId="0" fontId="18" numFmtId="4" xfId="0" applyBorder="1" applyFont="1" applyNumberFormat="1"/>
    <xf borderId="13" fillId="0" fontId="19" numFmtId="4" xfId="0" applyAlignment="1" applyBorder="1" applyFont="1" applyNumberFormat="1">
      <alignment readingOrder="0"/>
    </xf>
    <xf borderId="15" fillId="0" fontId="18" numFmtId="4" xfId="0" applyBorder="1" applyFont="1" applyNumberFormat="1"/>
    <xf borderId="32" fillId="11" fontId="6" numFmtId="4" xfId="0" applyBorder="1" applyFont="1" applyNumberFormat="1"/>
    <xf borderId="37" fillId="7" fontId="17" numFmtId="4" xfId="0" applyBorder="1" applyFont="1" applyNumberFormat="1"/>
    <xf borderId="38" fillId="7" fontId="17" numFmtId="4" xfId="0" applyAlignment="1" applyBorder="1" applyFont="1" applyNumberFormat="1">
      <alignment horizontal="center"/>
    </xf>
    <xf borderId="38" fillId="7" fontId="6" numFmtId="4" xfId="0" applyAlignment="1" applyBorder="1" applyFont="1" applyNumberFormat="1">
      <alignment horizontal="center"/>
    </xf>
    <xf borderId="31" fillId="0" fontId="6" numFmtId="4" xfId="0" applyAlignment="1" applyBorder="1" applyFont="1" applyNumberFormat="1">
      <alignment readingOrder="0"/>
    </xf>
    <xf borderId="38" fillId="9" fontId="16" numFmtId="4" xfId="0" applyAlignment="1" applyBorder="1" applyFont="1" applyNumberFormat="1">
      <alignment horizontal="center"/>
    </xf>
    <xf borderId="39" fillId="9" fontId="8" numFmtId="4" xfId="0" applyBorder="1" applyFont="1" applyNumberFormat="1"/>
    <xf borderId="40" fillId="9" fontId="17" numFmtId="4" xfId="0" applyAlignment="1" applyBorder="1" applyFont="1" applyNumberFormat="1">
      <alignment horizontal="right"/>
    </xf>
    <xf borderId="40" fillId="9" fontId="6" numFmtId="4" xfId="0" applyAlignment="1" applyBorder="1" applyFont="1" applyNumberFormat="1">
      <alignment horizontal="right"/>
    </xf>
    <xf borderId="40" fillId="9" fontId="8" numFmtId="4" xfId="0" applyAlignment="1" applyBorder="1" applyFont="1" applyNumberFormat="1">
      <alignment horizontal="right"/>
    </xf>
    <xf borderId="1" fillId="12" fontId="6" numFmtId="0" xfId="0" applyBorder="1" applyFill="1" applyFont="1"/>
    <xf borderId="1" fillId="12" fontId="8" numFmtId="0" xfId="0" applyAlignment="1" applyBorder="1" applyFont="1">
      <alignment horizontal="center"/>
    </xf>
    <xf borderId="2" fillId="0" fontId="3" numFmtId="0" xfId="0" applyAlignment="1" applyBorder="1" applyFont="1">
      <alignment horizontal="center" vertical="center"/>
    </xf>
    <xf borderId="3" fillId="0" fontId="6" numFmtId="0" xfId="0" applyBorder="1" applyFont="1"/>
    <xf borderId="4" fillId="0" fontId="6" numFmtId="0" xfId="0" applyBorder="1" applyFont="1"/>
    <xf borderId="5" fillId="0" fontId="8" numFmtId="0" xfId="0" applyAlignment="1" applyBorder="1" applyFont="1">
      <alignment horizontal="center"/>
    </xf>
    <xf borderId="0" fillId="0" fontId="6" numFmtId="0" xfId="0" applyFont="1"/>
    <xf borderId="6" fillId="0" fontId="6" numFmtId="0" xfId="0" applyBorder="1" applyFont="1"/>
    <xf borderId="41" fillId="3" fontId="4" numFmtId="0" xfId="0" applyAlignment="1" applyBorder="1" applyFont="1">
      <alignment horizontal="center" vertical="center"/>
    </xf>
    <xf borderId="42" fillId="3" fontId="4" numFmtId="0" xfId="0" applyAlignment="1" applyBorder="1" applyFont="1">
      <alignment horizontal="center" vertical="center"/>
    </xf>
    <xf borderId="43" fillId="3" fontId="4" numFmtId="0" xfId="0" applyAlignment="1" applyBorder="1" applyFont="1">
      <alignment horizontal="center" vertical="center"/>
    </xf>
    <xf borderId="44" fillId="0" fontId="5" numFmtId="0" xfId="0" applyBorder="1" applyFont="1"/>
    <xf borderId="45" fillId="3" fontId="4" numFmtId="0" xfId="0" applyAlignment="1" applyBorder="1" applyFont="1">
      <alignment horizontal="center" vertical="center"/>
    </xf>
    <xf borderId="46" fillId="3" fontId="4" numFmtId="0" xfId="0" applyAlignment="1" applyBorder="1" applyFont="1">
      <alignment horizontal="center" vertical="center"/>
    </xf>
    <xf borderId="47" fillId="0" fontId="6" numFmtId="0" xfId="0" applyBorder="1" applyFont="1"/>
    <xf borderId="48" fillId="0" fontId="6" numFmtId="0" xfId="0" applyBorder="1" applyFont="1"/>
    <xf borderId="49" fillId="5" fontId="7" numFmtId="0" xfId="0" applyAlignment="1" applyBorder="1" applyFont="1">
      <alignment horizontal="center" vertical="center"/>
    </xf>
    <xf borderId="50" fillId="0" fontId="5" numFmtId="0" xfId="0" applyBorder="1" applyFont="1"/>
    <xf borderId="51" fillId="0" fontId="5" numFmtId="0" xfId="0" applyBorder="1" applyFont="1"/>
    <xf borderId="52" fillId="0" fontId="5" numFmtId="0" xfId="0" applyBorder="1" applyFont="1"/>
    <xf borderId="53" fillId="7" fontId="8" numFmtId="0" xfId="0" applyBorder="1" applyFont="1"/>
    <xf borderId="54" fillId="7" fontId="8" numFmtId="0" xfId="0" applyAlignment="1" applyBorder="1" applyFont="1">
      <alignment horizontal="center"/>
    </xf>
    <xf borderId="55" fillId="0" fontId="18" numFmtId="4" xfId="0" applyBorder="1" applyFont="1" applyNumberFormat="1"/>
    <xf borderId="56" fillId="0" fontId="6" numFmtId="164" xfId="0" applyBorder="1" applyFont="1" applyNumberFormat="1"/>
    <xf borderId="57" fillId="0" fontId="18" numFmtId="4" xfId="0" applyBorder="1" applyFont="1" applyNumberFormat="1"/>
    <xf borderId="58" fillId="0" fontId="18" numFmtId="4" xfId="0" applyBorder="1" applyFont="1" applyNumberFormat="1"/>
    <xf borderId="59" fillId="0" fontId="18" numFmtId="4" xfId="0" applyBorder="1" applyFont="1" applyNumberFormat="1"/>
    <xf borderId="60" fillId="0" fontId="8" numFmtId="0" xfId="0" applyBorder="1" applyFont="1"/>
    <xf borderId="54" fillId="0" fontId="8" numFmtId="164" xfId="0" applyBorder="1" applyFont="1" applyNumberFormat="1"/>
    <xf borderId="51" fillId="0" fontId="6" numFmtId="0" xfId="0" applyAlignment="1" applyBorder="1" applyFont="1">
      <alignment horizontal="center"/>
    </xf>
    <xf borderId="61" fillId="0" fontId="8" numFmtId="0" xfId="0" applyBorder="1" applyFont="1"/>
    <xf borderId="62" fillId="0" fontId="8" numFmtId="164" xfId="0" applyBorder="1" applyFont="1" applyNumberFormat="1"/>
    <xf borderId="60" fillId="0" fontId="6" numFmtId="0" xfId="0" applyAlignment="1" applyBorder="1" applyFont="1">
      <alignment horizontal="center"/>
    </xf>
    <xf borderId="63" fillId="0" fontId="5" numFmtId="0" xfId="0" applyBorder="1" applyFont="1"/>
    <xf borderId="64" fillId="5" fontId="7" numFmtId="0" xfId="0" applyAlignment="1" applyBorder="1" applyFont="1">
      <alignment horizontal="center" vertical="center"/>
    </xf>
    <xf borderId="65" fillId="5" fontId="7" numFmtId="164" xfId="0" applyAlignment="1" applyBorder="1" applyFont="1" applyNumberFormat="1">
      <alignment horizontal="right" vertical="center"/>
    </xf>
    <xf borderId="66" fillId="0" fontId="5" numFmtId="0" xfId="0" applyBorder="1" applyFont="1"/>
    <xf borderId="67" fillId="0" fontId="5" numFmtId="0" xfId="0" applyBorder="1" applyFont="1"/>
    <xf borderId="7" fillId="0" fontId="8" numFmtId="0" xfId="0" applyAlignment="1" applyBorder="1" applyFont="1">
      <alignment horizontal="center"/>
    </xf>
    <xf borderId="23" fillId="0" fontId="6" numFmtId="0" xfId="0" applyBorder="1" applyFont="1"/>
    <xf borderId="8" fillId="0" fontId="6" numFmtId="0" xfId="0" applyBorder="1" applyFont="1"/>
    <xf borderId="2" fillId="0" fontId="20" numFmtId="0" xfId="0" applyAlignment="1" applyBorder="1" applyFont="1">
      <alignment horizontal="center" vertical="center"/>
    </xf>
    <xf borderId="68" fillId="13" fontId="4" numFmtId="0" xfId="0" applyAlignment="1" applyBorder="1" applyFill="1" applyFont="1">
      <alignment horizontal="center" vertical="center"/>
    </xf>
    <xf borderId="69" fillId="0" fontId="5" numFmtId="0" xfId="0" applyBorder="1" applyFont="1"/>
    <xf borderId="70" fillId="0" fontId="5" numFmtId="0" xfId="0" applyBorder="1" applyFont="1"/>
    <xf borderId="71" fillId="0" fontId="5" numFmtId="0" xfId="0" applyBorder="1" applyFont="1"/>
    <xf borderId="72" fillId="0" fontId="5" numFmtId="0" xfId="0" applyBorder="1" applyFont="1"/>
    <xf borderId="73" fillId="0" fontId="5" numFmtId="0" xfId="0" applyBorder="1" applyFont="1"/>
    <xf borderId="74" fillId="0" fontId="5" numFmtId="0" xfId="0" applyBorder="1" applyFont="1"/>
    <xf borderId="25" fillId="14" fontId="21" numFmtId="0" xfId="0" applyAlignment="1" applyBorder="1" applyFill="1" applyFont="1">
      <alignment horizontal="center" vertical="center"/>
    </xf>
    <xf borderId="26" fillId="14" fontId="21" numFmtId="0" xfId="0" applyAlignment="1" applyBorder="1" applyFont="1">
      <alignment horizontal="center" vertical="center"/>
    </xf>
    <xf borderId="27" fillId="14" fontId="21" numFmtId="0" xfId="0" applyAlignment="1" applyBorder="1" applyFont="1">
      <alignment horizontal="center" vertical="center"/>
    </xf>
    <xf borderId="37" fillId="14" fontId="21" numFmtId="0" xfId="0" applyAlignment="1" applyBorder="1" applyFont="1">
      <alignment horizontal="center" vertical="center"/>
    </xf>
    <xf borderId="75" fillId="14" fontId="21" numFmtId="0" xfId="0" applyAlignment="1" applyBorder="1" applyFont="1">
      <alignment horizontal="center" vertical="center"/>
    </xf>
    <xf borderId="76" fillId="14" fontId="21" numFmtId="0" xfId="0" applyAlignment="1" applyBorder="1" applyFont="1">
      <alignment horizontal="center" vertical="center"/>
    </xf>
    <xf borderId="9" fillId="15" fontId="8" numFmtId="0" xfId="0" applyBorder="1" applyFill="1" applyFont="1"/>
    <xf borderId="10" fillId="15" fontId="8" numFmtId="0" xfId="0" applyAlignment="1" applyBorder="1" applyFont="1">
      <alignment horizontal="center"/>
    </xf>
    <xf borderId="10" fillId="15" fontId="8" numFmtId="0" xfId="0" applyAlignment="1" applyBorder="1" applyFont="1">
      <alignment horizontal="center" readingOrder="0"/>
    </xf>
    <xf borderId="12" fillId="0" fontId="22" numFmtId="0" xfId="0" applyBorder="1" applyFont="1"/>
    <xf borderId="14" fillId="0" fontId="22" numFmtId="0" xfId="0" applyBorder="1" applyFont="1"/>
    <xf borderId="14" fillId="0" fontId="22" numFmtId="0" xfId="0" applyAlignment="1" applyBorder="1" applyFont="1">
      <alignment readingOrder="0"/>
    </xf>
    <xf borderId="77" fillId="0" fontId="8" numFmtId="0" xfId="0" applyBorder="1" applyFont="1"/>
    <xf borderId="40" fillId="0" fontId="8" numFmtId="4" xfId="0" applyBorder="1" applyFont="1" applyNumberFormat="1"/>
    <xf borderId="40" fillId="0" fontId="23" numFmtId="0" xfId="0" applyBorder="1" applyFont="1"/>
    <xf borderId="78" fillId="0" fontId="6" numFmtId="0" xfId="0" applyBorder="1" applyFont="1"/>
    <xf borderId="79" fillId="0" fontId="6" numFmtId="4" xfId="0" applyBorder="1" applyFont="1" applyNumberFormat="1"/>
    <xf borderId="80" fillId="0" fontId="6" numFmtId="4" xfId="0" applyBorder="1" applyFont="1" applyNumberFormat="1"/>
    <xf borderId="79" fillId="0" fontId="6" numFmtId="0" xfId="0" applyBorder="1" applyFont="1"/>
    <xf borderId="81" fillId="0" fontId="8" numFmtId="0" xfId="0" applyAlignment="1" applyBorder="1" applyFont="1">
      <alignment horizontal="center"/>
    </xf>
    <xf borderId="81" fillId="0" fontId="6" numFmtId="0" xfId="0" applyBorder="1" applyFont="1"/>
    <xf borderId="2" fillId="0" fontId="8" numFmtId="0" xfId="0" applyBorder="1" applyFont="1"/>
    <xf borderId="20" fillId="0" fontId="8" numFmtId="4" xfId="0" applyBorder="1" applyFont="1" applyNumberFormat="1"/>
    <xf borderId="20" fillId="0" fontId="23" numFmtId="0" xfId="0" applyBorder="1" applyFont="1"/>
    <xf borderId="16" fillId="0" fontId="6" numFmtId="0" xfId="0" applyBorder="1" applyFont="1"/>
    <xf borderId="18" fillId="0" fontId="6" numFmtId="0" xfId="0" applyBorder="1" applyFont="1"/>
    <xf borderId="19" fillId="4" fontId="21" numFmtId="0" xfId="0" applyAlignment="1" applyBorder="1" applyFont="1">
      <alignment horizontal="center" vertical="center"/>
    </xf>
    <xf borderId="20" fillId="4" fontId="21" numFmtId="165" xfId="0" applyAlignment="1" applyBorder="1" applyFont="1" applyNumberFormat="1">
      <alignment horizontal="center" vertical="center"/>
    </xf>
    <xf borderId="20" fillId="4" fontId="21" numFmtId="166" xfId="0" applyAlignment="1" applyBorder="1" applyFont="1" applyNumberFormat="1">
      <alignment horizontal="center" vertical="center"/>
    </xf>
    <xf borderId="20" fillId="4" fontId="24" numFmtId="0" xfId="0" applyAlignment="1" applyBorder="1" applyFont="1">
      <alignment horizontal="center" vertical="center"/>
    </xf>
  </cellXfs>
  <cellStyles count="1">
    <cellStyle xfId="0" name="Normal" builtinId="0"/>
  </cellStyles>
  <dxfs count="1">
    <dxf>
      <font>
        <color rgb="FF9C0006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Fordeling av inntekter vs kostnader</a:t>
            </a:r>
          </a:p>
        </c:rich>
      </c:tx>
      <c:layout>
        <c:manualLayout>
          <c:xMode val="edge"/>
          <c:yMode val="edge"/>
          <c:x val="0.22179708044935387"/>
          <c:y val="0.04120140707671475"/>
        </c:manualLayout>
      </c:layout>
      <c:overlay val="0"/>
    </c:title>
    <c:plotArea>
      <c:layout>
        <c:manualLayout>
          <c:xMode val="edge"/>
          <c:yMode val="edge"/>
          <c:x val="0.14890490611750454"/>
          <c:y val="0.19365101925146852"/>
          <c:w val="0.6991946295174641"/>
          <c:h val="0.6854944075931244"/>
        </c:manualLayout>
      </c:layout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Oversikt!$C$19</c:f>
            </c:strRef>
          </c:cat>
          <c:val>
            <c:numRef>
              <c:f>Oversikt!$C$54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Oversikt!$C$19</c:f>
            </c:strRef>
          </c:cat>
          <c:val>
            <c:numRef>
              <c:f>Oversikt!$D$19</c:f>
              <c:numCache/>
            </c:numRef>
          </c:val>
        </c:ser>
        <c:ser>
          <c:idx val="2"/>
          <c:order val="2"/>
          <c:cat>
            <c:strRef>
              <c:f>Oversikt!$C$19</c:f>
            </c:strRef>
          </c:cat>
          <c:val>
            <c:numRef>
              <c:f>Oversikt!$D$54</c:f>
              <c:numCache/>
            </c:numRef>
          </c:val>
        </c:ser>
        <c:axId val="1699359030"/>
        <c:axId val="992774180"/>
      </c:barChart>
      <c:catAx>
        <c:axId val="16993590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92774180"/>
      </c:catAx>
      <c:valAx>
        <c:axId val="9927741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9935903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Bank- og kontantbeholdning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Åpningsbalanse (IB)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Regnskap!$B$10:$B$12</c:f>
            </c:strRef>
          </c:cat>
          <c:val>
            <c:numRef>
              <c:f>Regnskap!$C$10:$C$12</c:f>
              <c:numCache/>
            </c:numRef>
          </c:val>
        </c:ser>
        <c:ser>
          <c:idx val="1"/>
          <c:order val="1"/>
          <c:cat>
            <c:strRef>
              <c:f>Regnskap!$B$10:$B$12</c:f>
            </c:strRef>
          </c:cat>
          <c:val>
            <c:numRef>
              <c:f>Regnskap!$D$10:$D$12</c:f>
              <c:numCache/>
            </c:numRef>
          </c:val>
        </c:ser>
        <c:axId val="1812052996"/>
        <c:axId val="110216962"/>
      </c:barChart>
      <c:catAx>
        <c:axId val="18120529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0216962"/>
      </c:catAx>
      <c:valAx>
        <c:axId val="1102169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1205299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19050</xdr:colOff>
      <xdr:row>40</xdr:row>
      <xdr:rowOff>104775</xdr:rowOff>
    </xdr:from>
    <xdr:ext cx="5067300" cy="2781300"/>
    <xdr:graphicFrame>
      <xdr:nvGraphicFramePr>
        <xdr:cNvPr id="81691627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9525</xdr:colOff>
      <xdr:row>25</xdr:row>
      <xdr:rowOff>190500</xdr:rowOff>
    </xdr:from>
    <xdr:ext cx="5067300" cy="2486025"/>
    <xdr:graphicFrame>
      <xdr:nvGraphicFramePr>
        <xdr:cNvPr id="187507325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9.29"/>
    <col customWidth="1" min="2" max="2" width="4.43"/>
    <col customWidth="1" min="3" max="3" width="59.0"/>
    <col customWidth="1" min="4" max="4" width="38.71"/>
    <col customWidth="1" min="5" max="5" width="3.43"/>
    <col customWidth="1" min="6" max="6" width="41.43"/>
    <col customWidth="1" min="7" max="7" width="34.71"/>
    <col customWidth="1" min="8" max="8" width="5.71"/>
    <col customWidth="1" min="9" max="26" width="10.71"/>
  </cols>
  <sheetData>
    <row r="1" ht="14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3" t="s">
        <v>0</v>
      </c>
      <c r="C2" s="4"/>
      <c r="D2" s="4"/>
      <c r="E2" s="4"/>
      <c r="F2" s="4"/>
      <c r="G2" s="4"/>
      <c r="H2" s="5"/>
      <c r="I2" s="2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0.25" customHeight="1">
      <c r="A3" s="2"/>
      <c r="B3" s="7"/>
      <c r="C3" s="8" t="s">
        <v>1</v>
      </c>
      <c r="D3" s="9"/>
      <c r="E3" s="10"/>
      <c r="F3" s="11" t="s">
        <v>2</v>
      </c>
      <c r="G3" s="9"/>
      <c r="H3" s="12"/>
      <c r="I3" s="2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0.25" customHeight="1">
      <c r="A4" s="2"/>
      <c r="B4" s="7"/>
      <c r="C4" s="13"/>
      <c r="D4" s="14"/>
      <c r="E4" s="10"/>
      <c r="F4" s="13"/>
      <c r="G4" s="14"/>
      <c r="H4" s="12"/>
      <c r="I4" s="2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0" customHeight="1">
      <c r="A5" s="2"/>
      <c r="B5" s="7"/>
      <c r="C5" s="13"/>
      <c r="D5" s="14"/>
      <c r="E5" s="10"/>
      <c r="F5" s="13"/>
      <c r="G5" s="14"/>
      <c r="H5" s="12"/>
      <c r="I5" s="2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0" customHeight="1">
      <c r="A6" s="2"/>
      <c r="B6" s="7"/>
      <c r="C6" s="15"/>
      <c r="D6" s="16"/>
      <c r="E6" s="10"/>
      <c r="F6" s="15"/>
      <c r="G6" s="16"/>
      <c r="H6" s="12"/>
      <c r="I6" s="2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0" customHeight="1">
      <c r="A7" s="2"/>
      <c r="B7" s="7"/>
      <c r="C7" s="10"/>
      <c r="D7" s="10"/>
      <c r="E7" s="10"/>
      <c r="F7" s="10"/>
      <c r="G7" s="10"/>
      <c r="H7" s="12"/>
      <c r="I7" s="2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0" customHeight="1">
      <c r="A8" s="2"/>
      <c r="B8" s="7"/>
      <c r="C8" s="17" t="s">
        <v>3</v>
      </c>
      <c r="D8" s="9"/>
      <c r="E8" s="18"/>
      <c r="F8" s="19" t="str">
        <f>C8</f>
        <v>Høst 2025</v>
      </c>
      <c r="G8" s="9"/>
      <c r="H8" s="12"/>
      <c r="I8" s="2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0" customHeight="1">
      <c r="A9" s="2"/>
      <c r="B9" s="7"/>
      <c r="C9" s="15"/>
      <c r="D9" s="16"/>
      <c r="E9" s="18"/>
      <c r="F9" s="15"/>
      <c r="G9" s="16"/>
      <c r="H9" s="12"/>
      <c r="I9" s="2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A10" s="2"/>
      <c r="B10" s="7"/>
      <c r="C10" s="20" t="s">
        <v>4</v>
      </c>
      <c r="D10" s="21"/>
      <c r="E10" s="10"/>
      <c r="F10" s="22" t="s">
        <v>5</v>
      </c>
      <c r="G10" s="23"/>
      <c r="H10" s="12"/>
      <c r="I10" s="2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4.25" customHeight="1">
      <c r="A11" s="2"/>
      <c r="B11" s="7"/>
      <c r="C11" s="24" t="str">
        <f>Regnskap!B20</f>
        <v>3000 Salgsinntekter</v>
      </c>
      <c r="D11" s="25">
        <f>-VLOOKUP(C11,Regnskap,3,FALSE)</f>
        <v>3599.15</v>
      </c>
      <c r="E11" s="26"/>
      <c r="F11" s="27" t="str">
        <f>Regnskap!B6</f>
        <v>1300 Lån til eksterne</v>
      </c>
      <c r="G11" s="28">
        <f>VLOOKUP(F11,Regnskap,3,FALSE)</f>
        <v>0</v>
      </c>
      <c r="H11" s="12"/>
      <c r="I11" s="2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4.25" customHeight="1">
      <c r="A12" s="2"/>
      <c r="B12" s="7"/>
      <c r="C12" s="27" t="str">
        <f>Regnskap!B21</f>
        <v>3100 Medlemskontingent</v>
      </c>
      <c r="D12" s="28">
        <f>-VLOOKUP(C12,Regnskap,3,FALSE)</f>
        <v>3350</v>
      </c>
      <c r="E12" s="26"/>
      <c r="F12" s="27" t="str">
        <f>Regnskap!B7</f>
        <v>1400 Varelager</v>
      </c>
      <c r="G12" s="28">
        <f>VLOOKUP(F12,Regnskap,3,FALSE)</f>
        <v>0</v>
      </c>
      <c r="H12" s="12"/>
      <c r="I12" s="2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A13" s="2"/>
      <c r="B13" s="7"/>
      <c r="C13" s="27" t="str">
        <f>Regnskap!B22</f>
        <v>3200 Billettinntekter</v>
      </c>
      <c r="D13" s="28">
        <f>-VLOOKUP(C13,Regnskap,3,FALSE)</f>
        <v>3050</v>
      </c>
      <c r="E13" s="26"/>
      <c r="F13" s="27" t="str">
        <f>Regnskap!B8</f>
        <v>1500 Fordringer</v>
      </c>
      <c r="G13" s="28">
        <f>VLOOKUP(F13,Regnskap,3,FALSE)</f>
        <v>0</v>
      </c>
      <c r="H13" s="12"/>
      <c r="I13" s="2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A14" s="2"/>
      <c r="B14" s="7"/>
      <c r="C14" s="27" t="str">
        <f>Regnskap!B23</f>
        <v>3400 Støtte fra Oslostøtte</v>
      </c>
      <c r="D14" s="28">
        <f>-VLOOKUP(C14,Regnskap,3,FALSE)</f>
        <v>88686.09</v>
      </c>
      <c r="E14" s="26"/>
      <c r="F14" s="27" t="str">
        <f>Regnskap!B9</f>
        <v>1550 Interne fordringer</v>
      </c>
      <c r="G14" s="28">
        <f>VLOOKUP(F14,Regnskap,3,FALSE)</f>
        <v>0</v>
      </c>
      <c r="H14" s="12"/>
      <c r="I14" s="2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2"/>
      <c r="B15" s="7"/>
      <c r="C15" s="27" t="str">
        <f>Regnskap!B24</f>
        <v>3410 Støtte fra Fri Fond</v>
      </c>
      <c r="D15" s="28">
        <f>-VLOOKUP(C15,Regnskap,3,FALSE)</f>
        <v>60209.43</v>
      </c>
      <c r="E15" s="26"/>
      <c r="F15" s="27" t="str">
        <f>Regnskap!B10</f>
        <v>1900 Kontanter</v>
      </c>
      <c r="G15" s="28">
        <f>VLOOKUP(F15,Regnskap,3,FALSE)</f>
        <v>0</v>
      </c>
      <c r="H15" s="12"/>
      <c r="I15" s="2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2"/>
      <c r="B16" s="7"/>
      <c r="C16" s="27" t="str">
        <f>Regnskap!B25</f>
        <v>3420 Støtte fra annen støtteordning</v>
      </c>
      <c r="D16" s="28">
        <f>-VLOOKUP(C16,Regnskap,3,FALSE)</f>
        <v>40130.74</v>
      </c>
      <c r="E16" s="26"/>
      <c r="F16" s="27" t="str">
        <f>Regnskap!B11</f>
        <v>1910 Brukskonto</v>
      </c>
      <c r="G16" s="28">
        <f>VLOOKUP(F16,Regnskap,3,FALSE)</f>
        <v>120240.12</v>
      </c>
      <c r="H16" s="12"/>
      <c r="I16" s="2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2"/>
      <c r="B17" s="7"/>
      <c r="C17" s="29" t="str">
        <f>Regnskap!B26</f>
        <v>3900 Annen inntekt</v>
      </c>
      <c r="D17" s="28">
        <f>-VLOOKUP(C17,Regnskap,3,FALSE)</f>
        <v>2677.62</v>
      </c>
      <c r="E17" s="26"/>
      <c r="F17" s="27" t="str">
        <f>Regnskap!B12</f>
        <v>1920 Sparekonto</v>
      </c>
      <c r="G17" s="28">
        <f>VLOOKUP(F17,Regnskap,3,FALSE)</f>
        <v>0</v>
      </c>
      <c r="H17" s="12"/>
      <c r="I17" s="2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2"/>
      <c r="B18" s="7"/>
      <c r="C18" s="30" t="str">
        <f>Regnskap!B27</f>
        <v>8050 Renteinntekter</v>
      </c>
      <c r="D18" s="31">
        <f>-VLOOKUP(C18,Regnskap,3,FALSE)</f>
        <v>0</v>
      </c>
      <c r="E18" s="10"/>
      <c r="F18" s="32" t="s">
        <v>6</v>
      </c>
      <c r="G18" s="33">
        <f>SUM(G11:G17)</f>
        <v>120240.12</v>
      </c>
      <c r="H18" s="12"/>
      <c r="I18" s="2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2"/>
      <c r="B19" s="7"/>
      <c r="C19" s="34" t="s">
        <v>7</v>
      </c>
      <c r="D19" s="35">
        <f>SUM(D11:D18)</f>
        <v>201703.03</v>
      </c>
      <c r="E19" s="10"/>
      <c r="F19" s="10"/>
      <c r="G19" s="10"/>
      <c r="H19" s="12"/>
      <c r="I19" s="2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2"/>
      <c r="B20" s="7"/>
      <c r="C20" s="36"/>
      <c r="D20" s="16"/>
      <c r="E20" s="10"/>
      <c r="F20" s="22" t="s">
        <v>8</v>
      </c>
      <c r="G20" s="23"/>
      <c r="H20" s="12"/>
      <c r="I20" s="2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2"/>
      <c r="B21" s="7"/>
      <c r="C21" s="20" t="s">
        <v>9</v>
      </c>
      <c r="D21" s="21"/>
      <c r="E21" s="10"/>
      <c r="F21" s="30" t="str">
        <f>Regnskap!B14</f>
        <v>2050 Egenkapital</v>
      </c>
      <c r="G21" s="31">
        <f>VLOOKUP(F21,Regnskap,3,FALSE)</f>
        <v>83181.49</v>
      </c>
      <c r="H21" s="12"/>
      <c r="I21" s="2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2"/>
      <c r="B22" s="7"/>
      <c r="C22" s="37" t="str">
        <f>Regnskap!B29</f>
        <v>4000 Varekjøp til videresalg</v>
      </c>
      <c r="D22" s="38">
        <f>VLOOKUP(C22,Regnskap,3,FALSE)</f>
        <v>4938.3</v>
      </c>
      <c r="E22" s="10"/>
      <c r="F22" s="30" t="str">
        <f>Regnskap!B15</f>
        <v>2400 Leverandørgjeld</v>
      </c>
      <c r="G22" s="31">
        <f>VLOOKUP(F22,Regnskap,3,FALSE)</f>
        <v>0</v>
      </c>
      <c r="H22" s="12"/>
      <c r="I22" s="2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2"/>
      <c r="B23" s="7"/>
      <c r="C23" s="39" t="str">
        <f>Regnskap!B30</f>
        <v>4300 Forbruk varelager</v>
      </c>
      <c r="D23" s="31">
        <f>VLOOKUP(C23,Regnskap,3,FALSE)</f>
        <v>0</v>
      </c>
      <c r="E23" s="10"/>
      <c r="F23" s="30" t="str">
        <f>Regnskap!B16</f>
        <v>2910 Gjeld til interne (utlegg)</v>
      </c>
      <c r="G23" s="31">
        <f>VLOOKUP(F23,Regnskap,3,FALSE)</f>
        <v>0</v>
      </c>
      <c r="H23" s="12"/>
      <c r="I23" s="2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2"/>
      <c r="B24" s="7"/>
      <c r="C24" s="39" t="str">
        <f>Regnskap!B31</f>
        <v>4390 Beholdningsendring varer</v>
      </c>
      <c r="D24" s="31">
        <f>VLOOKUP(C24,Regnskap,3,FALSE)</f>
        <v>0</v>
      </c>
      <c r="E24" s="10"/>
      <c r="F24" s="30" t="str">
        <f>Regnskap!B17</f>
        <v>2950 Annen gjeld</v>
      </c>
      <c r="G24" s="31">
        <f>VLOOKUP(F24,Regnskap,3,FALSE)</f>
        <v>0</v>
      </c>
      <c r="H24" s="12"/>
      <c r="I24" s="2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2"/>
      <c r="B25" s="7"/>
      <c r="C25" s="30" t="str">
        <f>Regnskap!B32</f>
        <v>5000 Skattefritt honorar, interne</v>
      </c>
      <c r="D25" s="31">
        <f>VLOOKUP(C25,Regnskap,3,FALSE)</f>
        <v>0</v>
      </c>
      <c r="E25" s="10"/>
      <c r="F25" s="32" t="s">
        <v>10</v>
      </c>
      <c r="G25" s="33">
        <f>SUM(G21:G24)</f>
        <v>83181.49</v>
      </c>
      <c r="H25" s="12"/>
      <c r="I25" s="2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2"/>
      <c r="B26" s="7"/>
      <c r="C26" s="30" t="str">
        <f>Regnskap!B33</f>
        <v>5050 Skattefritt honorar, eksterne</v>
      </c>
      <c r="D26" s="31">
        <f>VLOOKUP(C26,Regnskap,3,FALSE)</f>
        <v>0</v>
      </c>
      <c r="E26" s="10"/>
      <c r="F26" s="10"/>
      <c r="G26" s="10"/>
      <c r="H26" s="12"/>
      <c r="I26" s="2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2"/>
      <c r="B27" s="7"/>
      <c r="C27" s="30" t="str">
        <f>Regnskap!B34</f>
        <v>5700 Støtte til andre foreninger</v>
      </c>
      <c r="D27" s="31">
        <f>VLOOKUP(C27,Regnskap,3,FALSE)</f>
        <v>0</v>
      </c>
      <c r="E27" s="10"/>
      <c r="F27" s="10"/>
      <c r="G27" s="10"/>
      <c r="H27" s="40"/>
      <c r="I27" s="2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2"/>
      <c r="B28" s="7"/>
      <c r="C28" s="30" t="str">
        <f>Regnskap!B35</f>
        <v>5900 Gaver ansatte</v>
      </c>
      <c r="D28" s="31">
        <f>VLOOKUP(C28,Regnskap,3,FALSE)</f>
        <v>0</v>
      </c>
      <c r="E28" s="10"/>
      <c r="F28" s="10"/>
      <c r="G28" s="10"/>
      <c r="H28" s="12"/>
      <c r="I28" s="2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2"/>
      <c r="B29" s="7"/>
      <c r="C29" s="30" t="str">
        <f>Regnskap!B36</f>
        <v>5910 Mat og drikke til frivillige</v>
      </c>
      <c r="D29" s="31">
        <f>VLOOKUP(C29,Regnskap,3,FALSE)</f>
        <v>638</v>
      </c>
      <c r="E29" s="10"/>
      <c r="F29" s="10"/>
      <c r="G29" s="10"/>
      <c r="H29" s="12"/>
      <c r="I29" s="2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2"/>
      <c r="B30" s="7"/>
      <c r="C30" s="30" t="str">
        <f>Regnskap!B37</f>
        <v>5920 Mat og drikke til styret</v>
      </c>
      <c r="D30" s="31">
        <f>VLOOKUP(C30,Regnskap,3,FALSE)</f>
        <v>2989</v>
      </c>
      <c r="E30" s="10"/>
      <c r="F30" s="10"/>
      <c r="G30" s="10"/>
      <c r="H30" s="12"/>
      <c r="I30" s="2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2"/>
      <c r="B31" s="7"/>
      <c r="C31" s="30" t="str">
        <f>Regnskap!B38</f>
        <v>6300 Leie av lokaler</v>
      </c>
      <c r="D31" s="31">
        <f>VLOOKUP(C31,Regnskap,3,FALSE)</f>
        <v>0</v>
      </c>
      <c r="E31" s="10"/>
      <c r="F31" s="10"/>
      <c r="G31" s="10"/>
      <c r="H31" s="12"/>
      <c r="I31" s="2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2"/>
      <c r="B32" s="7"/>
      <c r="C32" s="30" t="str">
        <f>Regnskap!B39</f>
        <v>6450 Inventar</v>
      </c>
      <c r="D32" s="31">
        <f>VLOOKUP(C32,Regnskap,3,FALSE)</f>
        <v>12656</v>
      </c>
      <c r="E32" s="10"/>
      <c r="F32" s="10"/>
      <c r="G32" s="10"/>
      <c r="H32" s="12"/>
      <c r="I32" s="2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2"/>
      <c r="B33" s="7"/>
      <c r="C33" s="30" t="str">
        <f>Regnskap!B40</f>
        <v>6550 Driftsmaterialer</v>
      </c>
      <c r="D33" s="31">
        <f>VLOOKUP(C33,Regnskap,3,FALSE)</f>
        <v>0</v>
      </c>
      <c r="E33" s="10"/>
      <c r="F33" s="10"/>
      <c r="G33" s="10"/>
      <c r="H33" s="40" t="s">
        <v>0</v>
      </c>
      <c r="I33" s="2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2"/>
      <c r="B34" s="7"/>
      <c r="C34" s="30" t="str">
        <f>Regnskap!B41</f>
        <v>6551 Datautstyr</v>
      </c>
      <c r="D34" s="31">
        <f>VLOOKUP(C34,Regnskap,3,FALSE)</f>
        <v>8331.94</v>
      </c>
      <c r="E34" s="10"/>
      <c r="F34" s="10"/>
      <c r="G34" s="10"/>
      <c r="H34" s="12"/>
      <c r="I34" s="2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2"/>
      <c r="B35" s="7"/>
      <c r="C35" s="30" t="str">
        <f>Regnskap!B42</f>
        <v>6552 Programvarer</v>
      </c>
      <c r="D35" s="31">
        <f>VLOOKUP(C35,Regnskap,3,FALSE)</f>
        <v>1204</v>
      </c>
      <c r="E35" s="10"/>
      <c r="F35" s="10"/>
      <c r="G35" s="10"/>
      <c r="H35" s="12"/>
      <c r="I35" s="2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2"/>
      <c r="B36" s="7"/>
      <c r="C36" s="30" t="str">
        <f>Regnskap!B43</f>
        <v>6560 Rekvisita</v>
      </c>
      <c r="D36" s="31">
        <f>VLOOKUP(C36,Regnskap,3,FALSE)</f>
        <v>0</v>
      </c>
      <c r="E36" s="10"/>
      <c r="F36" s="10"/>
      <c r="G36" s="10"/>
      <c r="H36" s="12"/>
      <c r="I36" s="2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2"/>
      <c r="B37" s="7"/>
      <c r="C37" s="30" t="str">
        <f>Regnskap!B44</f>
        <v>6590 Annen driftskostnad</v>
      </c>
      <c r="D37" s="31">
        <f>VLOOKUP(C37,Regnskap,3,FALSE)</f>
        <v>10238</v>
      </c>
      <c r="E37" s="10"/>
      <c r="F37" s="10"/>
      <c r="G37" s="10"/>
      <c r="H37" s="12"/>
      <c r="I37" s="2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2"/>
      <c r="B38" s="7"/>
      <c r="C38" s="30" t="str">
        <f>Regnskap!B45</f>
        <v>6720 Økonomiske og juridiske tjenester</v>
      </c>
      <c r="D38" s="31">
        <f>VLOOKUP(C38,Regnskap,3,FALSE)</f>
        <v>4520.44</v>
      </c>
      <c r="E38" s="10"/>
      <c r="F38" s="10"/>
      <c r="G38" s="10"/>
      <c r="H38" s="12"/>
      <c r="I38" s="2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2"/>
      <c r="B39" s="7"/>
      <c r="C39" s="30" t="str">
        <f>Regnskap!B46</f>
        <v>6750 Arrangementkostnader</v>
      </c>
      <c r="D39" s="31">
        <f>VLOOKUP(C39,Regnskap,3,FALSE)</f>
        <v>26145.42</v>
      </c>
      <c r="E39" s="10"/>
      <c r="F39" s="10"/>
      <c r="G39" s="10"/>
      <c r="H39" s="12"/>
      <c r="I39" s="2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2"/>
      <c r="B40" s="7"/>
      <c r="C40" s="30" t="str">
        <f>Regnskap!B47</f>
        <v>6755 Artist/underholdningshonorar</v>
      </c>
      <c r="D40" s="31">
        <f>VLOOKUP(C40,Regnskap,3,FALSE)</f>
        <v>0</v>
      </c>
      <c r="E40" s="10"/>
      <c r="F40" s="10"/>
      <c r="G40" s="10"/>
      <c r="H40" s="12"/>
      <c r="I40" s="2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2"/>
      <c r="B41" s="7"/>
      <c r="C41" s="30" t="str">
        <f>Regnskap!B48</f>
        <v>6790 Andre fremmedtjenester</v>
      </c>
      <c r="D41" s="31">
        <f>VLOOKUP(C41,Regnskap,3,FALSE)</f>
        <v>8762.11</v>
      </c>
      <c r="E41" s="10"/>
      <c r="F41" s="10"/>
      <c r="G41" s="10"/>
      <c r="H41" s="12"/>
      <c r="I41" s="2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2"/>
      <c r="B42" s="7"/>
      <c r="C42" s="30" t="str">
        <f>Regnskap!B49</f>
        <v>6800 Kontorrekvisita</v>
      </c>
      <c r="D42" s="31">
        <f>VLOOKUP(C42,Regnskap,3,FALSE)</f>
        <v>486.7</v>
      </c>
      <c r="E42" s="10"/>
      <c r="F42" s="10"/>
      <c r="G42" s="10"/>
      <c r="H42" s="12"/>
      <c r="I42" s="2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2"/>
      <c r="B43" s="7"/>
      <c r="C43" s="30" t="str">
        <f>Regnskap!B50</f>
        <v>6815 Internett</v>
      </c>
      <c r="D43" s="31">
        <f>VLOOKUP(C43,Regnskap,3,FALSE)</f>
        <v>0</v>
      </c>
      <c r="E43" s="10"/>
      <c r="F43" s="10"/>
      <c r="G43" s="10"/>
      <c r="H43" s="12"/>
      <c r="I43" s="2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2"/>
      <c r="B44" s="7"/>
      <c r="C44" s="30" t="str">
        <f>Regnskap!B51</f>
        <v>6890 Annen kontorkostnad</v>
      </c>
      <c r="D44" s="31">
        <f>VLOOKUP(C44,Regnskap,3,FALSE)</f>
        <v>0</v>
      </c>
      <c r="E44" s="10"/>
      <c r="F44" s="10"/>
      <c r="G44" s="10"/>
      <c r="H44" s="12"/>
      <c r="I44" s="2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2"/>
      <c r="B45" s="7"/>
      <c r="C45" s="30" t="str">
        <f>Regnskap!B52</f>
        <v>6900 Telefon</v>
      </c>
      <c r="D45" s="31">
        <f>VLOOKUP(C45,Regnskap,3,FALSE)</f>
        <v>0</v>
      </c>
      <c r="E45" s="10"/>
      <c r="F45" s="10"/>
      <c r="G45" s="10"/>
      <c r="H45" s="12"/>
      <c r="I45" s="2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2"/>
      <c r="B46" s="7"/>
      <c r="C46" s="30" t="str">
        <f>Regnskap!B53</f>
        <v>6940 Porto</v>
      </c>
      <c r="D46" s="31">
        <f>VLOOKUP(C46,Regnskap,3,FALSE)</f>
        <v>0</v>
      </c>
      <c r="E46" s="10"/>
      <c r="F46" s="10"/>
      <c r="G46" s="10"/>
      <c r="H46" s="12"/>
      <c r="I46" s="2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2"/>
      <c r="B47" s="7"/>
      <c r="C47" s="30" t="str">
        <f>Regnskap!B54</f>
        <v>7100 Reisekostnad</v>
      </c>
      <c r="D47" s="31">
        <f>VLOOKUP(C47,Regnskap,3,FALSE)</f>
        <v>0</v>
      </c>
      <c r="E47" s="10"/>
      <c r="F47" s="6"/>
      <c r="G47" s="41"/>
      <c r="H47" s="12"/>
      <c r="I47" s="2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2"/>
      <c r="B48" s="7"/>
      <c r="C48" s="30" t="str">
        <f>Regnskap!B55</f>
        <v>7300 Markedsføring og representasjon</v>
      </c>
      <c r="D48" s="31">
        <f>VLOOKUP(C48,Regnskap,3,FALSE)</f>
        <v>0</v>
      </c>
      <c r="E48" s="10"/>
      <c r="F48" s="10"/>
      <c r="G48" s="10"/>
      <c r="H48" s="12"/>
      <c r="I48" s="2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2"/>
      <c r="B49" s="7"/>
      <c r="C49" s="30" t="str">
        <f>Regnskap!B56</f>
        <v>7600 Lisensavgift og royalties</v>
      </c>
      <c r="D49" s="31">
        <f>VLOOKUP(C49,Regnskap,3,FALSE)</f>
        <v>0</v>
      </c>
      <c r="E49" s="10"/>
      <c r="F49" s="6"/>
      <c r="G49" s="10"/>
      <c r="H49" s="12"/>
      <c r="I49" s="2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2"/>
      <c r="B50" s="7"/>
      <c r="C50" s="30" t="str">
        <f>Regnskap!B57</f>
        <v>7740 Øredifferanse</v>
      </c>
      <c r="D50" s="31">
        <f>VLOOKUP(C50,Regnskap,3,FALSE)</f>
        <v>0</v>
      </c>
      <c r="E50" s="10"/>
      <c r="F50" s="6"/>
      <c r="G50" s="10"/>
      <c r="H50" s="12"/>
      <c r="I50" s="2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2"/>
      <c r="B51" s="7"/>
      <c r="C51" s="30" t="str">
        <f>Regnskap!B58</f>
        <v>7770 Bank og kortgebyrer</v>
      </c>
      <c r="D51" s="31">
        <f>VLOOKUP(C51,Regnskap,3,FALSE)</f>
        <v>553</v>
      </c>
      <c r="E51" s="10"/>
      <c r="F51" s="10"/>
      <c r="G51" s="10"/>
      <c r="H51" s="12"/>
      <c r="I51" s="2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2"/>
      <c r="B52" s="7"/>
      <c r="C52" s="30" t="str">
        <f>Regnskap!B59</f>
        <v>7790 Annen kostnad, fradragsberettiget</v>
      </c>
      <c r="D52" s="31">
        <f>VLOOKUP(C52,Regnskap,3,FALSE)</f>
        <v>0</v>
      </c>
      <c r="E52" s="10"/>
      <c r="F52" s="10"/>
      <c r="G52" s="10"/>
      <c r="H52" s="12"/>
      <c r="I52" s="2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2"/>
      <c r="B53" s="7"/>
      <c r="C53" s="30" t="str">
        <f>Regnskap!B60</f>
        <v>8150 Rentekostnader</v>
      </c>
      <c r="D53" s="31">
        <f>VLOOKUP(C53,Regnskap,3,FALSE)</f>
        <v>0</v>
      </c>
      <c r="E53" s="10"/>
      <c r="F53" s="41"/>
      <c r="G53" s="41"/>
      <c r="H53" s="12"/>
      <c r="I53" s="2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2"/>
      <c r="B54" s="7"/>
      <c r="C54" s="32" t="s">
        <v>11</v>
      </c>
      <c r="D54" s="33">
        <f>SUM(D22:D53)</f>
        <v>81462.91</v>
      </c>
      <c r="E54" s="10"/>
      <c r="F54" s="10"/>
      <c r="G54" s="10"/>
      <c r="H54" s="12"/>
      <c r="I54" s="2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2"/>
      <c r="B55" s="7"/>
      <c r="C55" s="42"/>
      <c r="D55" s="43"/>
      <c r="E55" s="10"/>
      <c r="F55" s="10"/>
      <c r="G55" s="10"/>
      <c r="H55" s="12"/>
      <c r="I55" s="2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0" customHeight="1">
      <c r="A56" s="2"/>
      <c r="B56" s="7"/>
      <c r="C56" s="44" t="s">
        <v>12</v>
      </c>
      <c r="D56" s="45">
        <f>D19-D54</f>
        <v>120240.12</v>
      </c>
      <c r="E56" s="10"/>
      <c r="F56" s="6"/>
      <c r="G56" s="10"/>
      <c r="H56" s="12"/>
      <c r="I56" s="2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0" customHeight="1">
      <c r="A57" s="2"/>
      <c r="B57" s="7"/>
      <c r="C57" s="46"/>
      <c r="D57" s="47"/>
      <c r="E57" s="10"/>
      <c r="F57" s="6"/>
      <c r="G57" s="6"/>
      <c r="H57" s="12"/>
      <c r="I57" s="2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2"/>
      <c r="B58" s="48"/>
      <c r="C58" s="49"/>
      <c r="D58" s="49"/>
      <c r="E58" s="49"/>
      <c r="F58" s="49"/>
      <c r="G58" s="49"/>
      <c r="H58" s="50"/>
      <c r="I58" s="2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6"/>
      <c r="C60" s="6"/>
      <c r="D60" s="6"/>
      <c r="E60" s="6"/>
      <c r="F60" s="6"/>
      <c r="G60" s="6"/>
      <c r="H60" s="6"/>
      <c r="I60" s="2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2"/>
      <c r="B61" s="6"/>
      <c r="C61" s="6"/>
      <c r="D61" s="6"/>
      <c r="E61" s="6"/>
      <c r="F61" s="6"/>
      <c r="G61" s="6"/>
      <c r="H61" s="6"/>
      <c r="I61" s="2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2"/>
      <c r="B62" s="6"/>
      <c r="C62" s="6"/>
      <c r="D62" s="6"/>
      <c r="E62" s="6"/>
      <c r="F62" s="6"/>
      <c r="G62" s="6"/>
      <c r="H62" s="6"/>
      <c r="I62" s="2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2"/>
      <c r="B63" s="6"/>
      <c r="C63" s="6"/>
      <c r="D63" s="6"/>
      <c r="E63" s="6"/>
      <c r="F63" s="6"/>
      <c r="G63" s="6"/>
      <c r="H63" s="6"/>
      <c r="I63" s="2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2"/>
      <c r="B64" s="6"/>
      <c r="C64" s="6"/>
      <c r="D64" s="6"/>
      <c r="E64" s="6"/>
      <c r="F64" s="6"/>
      <c r="G64" s="6"/>
      <c r="H64" s="6"/>
      <c r="I64" s="2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2"/>
      <c r="B65" s="6"/>
      <c r="C65" s="6"/>
      <c r="D65" s="6"/>
      <c r="E65" s="6"/>
      <c r="F65" s="6"/>
      <c r="G65" s="6"/>
      <c r="H65" s="6"/>
      <c r="I65" s="2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2"/>
      <c r="B66" s="6"/>
      <c r="C66" s="6"/>
      <c r="D66" s="6"/>
      <c r="E66" s="6"/>
      <c r="F66" s="6"/>
      <c r="G66" s="6"/>
      <c r="H66" s="6"/>
      <c r="I66" s="2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2"/>
      <c r="B67" s="6"/>
      <c r="C67" s="6"/>
      <c r="D67" s="6"/>
      <c r="E67" s="6"/>
      <c r="F67" s="6"/>
      <c r="G67" s="6"/>
      <c r="H67" s="6"/>
      <c r="I67" s="2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2"/>
      <c r="B68" s="6"/>
      <c r="C68" s="6"/>
      <c r="D68" s="6"/>
      <c r="E68" s="6"/>
      <c r="F68" s="6"/>
      <c r="G68" s="6"/>
      <c r="H68" s="6"/>
      <c r="I68" s="2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2"/>
      <c r="B69" s="6"/>
      <c r="C69" s="6"/>
      <c r="D69" s="6"/>
      <c r="E69" s="6"/>
      <c r="F69" s="6"/>
      <c r="G69" s="6"/>
      <c r="H69" s="6"/>
      <c r="I69" s="2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2"/>
      <c r="B70" s="6"/>
      <c r="C70" s="6"/>
      <c r="D70" s="6"/>
      <c r="E70" s="6"/>
      <c r="F70" s="6"/>
      <c r="G70" s="6"/>
      <c r="H70" s="6"/>
      <c r="I70" s="2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2"/>
      <c r="B71" s="6"/>
      <c r="C71" s="6"/>
      <c r="D71" s="6"/>
      <c r="E71" s="6"/>
      <c r="F71" s="6"/>
      <c r="G71" s="6"/>
      <c r="H71" s="6"/>
      <c r="I71" s="2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2"/>
      <c r="B72" s="6"/>
      <c r="C72" s="6"/>
      <c r="D72" s="6"/>
      <c r="E72" s="6"/>
      <c r="F72" s="6"/>
      <c r="G72" s="6"/>
      <c r="H72" s="6"/>
      <c r="I72" s="2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2"/>
      <c r="B73" s="6"/>
      <c r="C73" s="6"/>
      <c r="D73" s="6"/>
      <c r="E73" s="6"/>
      <c r="F73" s="6"/>
      <c r="G73" s="6"/>
      <c r="H73" s="6"/>
      <c r="I73" s="2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2"/>
      <c r="B74" s="6"/>
      <c r="C74" s="6"/>
      <c r="D74" s="6"/>
      <c r="E74" s="6"/>
      <c r="F74" s="6"/>
      <c r="G74" s="6"/>
      <c r="H74" s="6"/>
      <c r="I74" s="2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2"/>
      <c r="B75" s="6"/>
      <c r="C75" s="6"/>
      <c r="D75" s="6"/>
      <c r="E75" s="6"/>
      <c r="F75" s="6"/>
      <c r="G75" s="6"/>
      <c r="H75" s="6"/>
      <c r="I75" s="2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2"/>
      <c r="B76" s="6"/>
      <c r="C76" s="6"/>
      <c r="D76" s="6"/>
      <c r="E76" s="6"/>
      <c r="F76" s="6"/>
      <c r="G76" s="6"/>
      <c r="H76" s="6"/>
      <c r="I76" s="2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2"/>
      <c r="B77" s="6"/>
      <c r="C77" s="6"/>
      <c r="D77" s="6"/>
      <c r="E77" s="6"/>
      <c r="F77" s="6"/>
      <c r="G77" s="6"/>
      <c r="H77" s="6"/>
      <c r="I77" s="2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2"/>
      <c r="B78" s="6"/>
      <c r="C78" s="6"/>
      <c r="D78" s="6"/>
      <c r="E78" s="6"/>
      <c r="F78" s="6"/>
      <c r="G78" s="6"/>
      <c r="H78" s="6"/>
      <c r="I78" s="2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2"/>
      <c r="B79" s="6"/>
      <c r="C79" s="6"/>
      <c r="D79" s="6"/>
      <c r="E79" s="6"/>
      <c r="F79" s="6"/>
      <c r="G79" s="6"/>
      <c r="H79" s="6"/>
      <c r="I79" s="2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2"/>
      <c r="B80" s="6"/>
      <c r="C80" s="6"/>
      <c r="D80" s="6"/>
      <c r="E80" s="6"/>
      <c r="F80" s="6"/>
      <c r="G80" s="6"/>
      <c r="H80" s="6"/>
      <c r="I80" s="2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2"/>
      <c r="B81" s="6"/>
      <c r="C81" s="6"/>
      <c r="D81" s="6"/>
      <c r="E81" s="6"/>
      <c r="F81" s="6"/>
      <c r="G81" s="6"/>
      <c r="H81" s="6"/>
      <c r="I81" s="2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2"/>
      <c r="B82" s="6"/>
      <c r="C82" s="6"/>
      <c r="D82" s="6"/>
      <c r="E82" s="6"/>
      <c r="F82" s="6"/>
      <c r="G82" s="6"/>
      <c r="H82" s="6"/>
      <c r="I82" s="2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2"/>
      <c r="B83" s="6"/>
      <c r="C83" s="6"/>
      <c r="D83" s="6"/>
      <c r="E83" s="6"/>
      <c r="F83" s="6"/>
      <c r="G83" s="6"/>
      <c r="H83" s="6"/>
      <c r="I83" s="2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2"/>
      <c r="B84" s="6"/>
      <c r="C84" s="6"/>
      <c r="D84" s="6"/>
      <c r="E84" s="6"/>
      <c r="F84" s="6"/>
      <c r="G84" s="6"/>
      <c r="H84" s="6"/>
      <c r="I84" s="2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2"/>
      <c r="B85" s="6"/>
      <c r="C85" s="6"/>
      <c r="D85" s="6"/>
      <c r="E85" s="6"/>
      <c r="F85" s="6"/>
      <c r="G85" s="6"/>
      <c r="H85" s="6"/>
      <c r="I85" s="2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2"/>
      <c r="B86" s="6"/>
      <c r="C86" s="6"/>
      <c r="D86" s="6"/>
      <c r="E86" s="6"/>
      <c r="F86" s="6"/>
      <c r="G86" s="6"/>
      <c r="H86" s="6"/>
      <c r="I86" s="2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2"/>
      <c r="B87" s="6"/>
      <c r="C87" s="6"/>
      <c r="D87" s="6"/>
      <c r="E87" s="6"/>
      <c r="F87" s="6"/>
      <c r="G87" s="6"/>
      <c r="H87" s="6"/>
      <c r="I87" s="2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2"/>
      <c r="B88" s="6"/>
      <c r="C88" s="6"/>
      <c r="D88" s="6"/>
      <c r="E88" s="6"/>
      <c r="F88" s="6"/>
      <c r="G88" s="6"/>
      <c r="H88" s="6"/>
      <c r="I88" s="2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2"/>
      <c r="B89" s="6"/>
      <c r="C89" s="6"/>
      <c r="D89" s="6"/>
      <c r="E89" s="6"/>
      <c r="F89" s="6"/>
      <c r="G89" s="6"/>
      <c r="H89" s="6"/>
      <c r="I89" s="2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2"/>
      <c r="B90" s="6"/>
      <c r="C90" s="6"/>
      <c r="D90" s="6"/>
      <c r="E90" s="6"/>
      <c r="F90" s="6"/>
      <c r="G90" s="6"/>
      <c r="H90" s="6"/>
      <c r="I90" s="2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2"/>
      <c r="B91" s="6"/>
      <c r="C91" s="6"/>
      <c r="D91" s="6"/>
      <c r="E91" s="6"/>
      <c r="F91" s="6"/>
      <c r="G91" s="6"/>
      <c r="H91" s="6"/>
      <c r="I91" s="2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2"/>
      <c r="B92" s="6"/>
      <c r="C92" s="6"/>
      <c r="D92" s="6"/>
      <c r="E92" s="6"/>
      <c r="F92" s="6"/>
      <c r="G92" s="6"/>
      <c r="H92" s="6"/>
      <c r="I92" s="2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2"/>
      <c r="B93" s="6"/>
      <c r="C93" s="6"/>
      <c r="D93" s="6"/>
      <c r="E93" s="6"/>
      <c r="F93" s="6"/>
      <c r="G93" s="6"/>
      <c r="H93" s="6"/>
      <c r="I93" s="2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2"/>
      <c r="B94" s="6"/>
      <c r="C94" s="6"/>
      <c r="D94" s="6"/>
      <c r="E94" s="6"/>
      <c r="F94" s="6"/>
      <c r="G94" s="6"/>
      <c r="H94" s="6"/>
      <c r="I94" s="2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2"/>
      <c r="B95" s="6"/>
      <c r="C95" s="6"/>
      <c r="D95" s="6"/>
      <c r="E95" s="6"/>
      <c r="F95" s="6"/>
      <c r="G95" s="6"/>
      <c r="H95" s="6"/>
      <c r="I95" s="2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2"/>
      <c r="B96" s="6"/>
      <c r="C96" s="6"/>
      <c r="D96" s="6"/>
      <c r="E96" s="6"/>
      <c r="F96" s="6"/>
      <c r="G96" s="6"/>
      <c r="H96" s="6"/>
      <c r="I96" s="2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2"/>
      <c r="B97" s="6"/>
      <c r="C97" s="6"/>
      <c r="D97" s="6"/>
      <c r="E97" s="6"/>
      <c r="F97" s="6"/>
      <c r="G97" s="6"/>
      <c r="H97" s="6"/>
      <c r="I97" s="2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2"/>
      <c r="B98" s="6"/>
      <c r="C98" s="6"/>
      <c r="D98" s="6"/>
      <c r="E98" s="6"/>
      <c r="F98" s="6"/>
      <c r="G98" s="6"/>
      <c r="H98" s="6"/>
      <c r="I98" s="2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2"/>
      <c r="B99" s="6"/>
      <c r="C99" s="6"/>
      <c r="D99" s="6"/>
      <c r="E99" s="6"/>
      <c r="F99" s="6"/>
      <c r="G99" s="6"/>
      <c r="H99" s="6"/>
      <c r="I99" s="2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2"/>
      <c r="B100" s="6"/>
      <c r="C100" s="6"/>
      <c r="D100" s="6"/>
      <c r="E100" s="6"/>
      <c r="F100" s="6"/>
      <c r="G100" s="6"/>
      <c r="H100" s="6"/>
      <c r="I100" s="2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2"/>
      <c r="B101" s="6"/>
      <c r="C101" s="6"/>
      <c r="D101" s="6"/>
      <c r="E101" s="6"/>
      <c r="F101" s="6"/>
      <c r="G101" s="6"/>
      <c r="H101" s="6"/>
      <c r="I101" s="2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2"/>
      <c r="B102" s="6"/>
      <c r="C102" s="6"/>
      <c r="D102" s="6"/>
      <c r="E102" s="6"/>
      <c r="F102" s="6"/>
      <c r="G102" s="6"/>
      <c r="H102" s="6"/>
      <c r="I102" s="2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2"/>
      <c r="B103" s="6"/>
      <c r="C103" s="6"/>
      <c r="D103" s="6"/>
      <c r="E103" s="6"/>
      <c r="F103" s="6"/>
      <c r="G103" s="6"/>
      <c r="H103" s="6"/>
      <c r="I103" s="2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2"/>
      <c r="B104" s="6"/>
      <c r="C104" s="6"/>
      <c r="D104" s="6"/>
      <c r="E104" s="6"/>
      <c r="F104" s="6"/>
      <c r="G104" s="6"/>
      <c r="H104" s="6"/>
      <c r="I104" s="2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2"/>
      <c r="B105" s="6"/>
      <c r="C105" s="6"/>
      <c r="D105" s="6"/>
      <c r="E105" s="6"/>
      <c r="F105" s="6"/>
      <c r="G105" s="6"/>
      <c r="H105" s="6"/>
      <c r="I105" s="2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2"/>
      <c r="B106" s="6"/>
      <c r="C106" s="6"/>
      <c r="D106" s="6"/>
      <c r="E106" s="6"/>
      <c r="F106" s="6"/>
      <c r="G106" s="6"/>
      <c r="H106" s="6"/>
      <c r="I106" s="2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2"/>
      <c r="B107" s="6"/>
      <c r="C107" s="6"/>
      <c r="D107" s="6"/>
      <c r="E107" s="6"/>
      <c r="F107" s="6"/>
      <c r="G107" s="6"/>
      <c r="H107" s="6"/>
      <c r="I107" s="2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2"/>
      <c r="B108" s="6"/>
      <c r="C108" s="6"/>
      <c r="D108" s="6"/>
      <c r="E108" s="6"/>
      <c r="F108" s="6"/>
      <c r="G108" s="6"/>
      <c r="H108" s="6"/>
      <c r="I108" s="2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2"/>
      <c r="B109" s="6"/>
      <c r="C109" s="6"/>
      <c r="D109" s="6"/>
      <c r="E109" s="6"/>
      <c r="F109" s="6"/>
      <c r="G109" s="6"/>
      <c r="H109" s="6"/>
      <c r="I109" s="2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2"/>
      <c r="B110" s="6"/>
      <c r="C110" s="6"/>
      <c r="D110" s="6"/>
      <c r="E110" s="6"/>
      <c r="F110" s="6"/>
      <c r="G110" s="6"/>
      <c r="H110" s="6"/>
      <c r="I110" s="2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2"/>
      <c r="B111" s="6"/>
      <c r="C111" s="6"/>
      <c r="D111" s="6"/>
      <c r="E111" s="6"/>
      <c r="F111" s="6"/>
      <c r="G111" s="6"/>
      <c r="H111" s="6"/>
      <c r="I111" s="2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2"/>
      <c r="B112" s="6"/>
      <c r="C112" s="6"/>
      <c r="D112" s="6"/>
      <c r="E112" s="6"/>
      <c r="F112" s="6"/>
      <c r="G112" s="6"/>
      <c r="H112" s="6"/>
      <c r="I112" s="2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2"/>
      <c r="B113" s="6"/>
      <c r="C113" s="6"/>
      <c r="D113" s="6"/>
      <c r="E113" s="6"/>
      <c r="F113" s="6"/>
      <c r="G113" s="6"/>
      <c r="H113" s="6"/>
      <c r="I113" s="2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2"/>
      <c r="B114" s="6"/>
      <c r="C114" s="6"/>
      <c r="D114" s="6"/>
      <c r="E114" s="6"/>
      <c r="F114" s="6"/>
      <c r="G114" s="6"/>
      <c r="H114" s="6"/>
      <c r="I114" s="2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2"/>
      <c r="B115" s="6"/>
      <c r="C115" s="6"/>
      <c r="D115" s="6"/>
      <c r="E115" s="6"/>
      <c r="F115" s="6"/>
      <c r="G115" s="6"/>
      <c r="H115" s="6"/>
      <c r="I115" s="2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2"/>
      <c r="B116" s="6"/>
      <c r="C116" s="6"/>
      <c r="D116" s="6"/>
      <c r="E116" s="6"/>
      <c r="F116" s="6"/>
      <c r="G116" s="6"/>
      <c r="H116" s="6"/>
      <c r="I116" s="2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2"/>
      <c r="B117" s="6"/>
      <c r="C117" s="6"/>
      <c r="D117" s="6"/>
      <c r="E117" s="6"/>
      <c r="F117" s="6"/>
      <c r="G117" s="6"/>
      <c r="H117" s="6"/>
      <c r="I117" s="2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2"/>
      <c r="B118" s="6"/>
      <c r="C118" s="6"/>
      <c r="D118" s="6"/>
      <c r="E118" s="6"/>
      <c r="F118" s="6"/>
      <c r="G118" s="6"/>
      <c r="H118" s="6"/>
      <c r="I118" s="2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2"/>
      <c r="B119" s="6"/>
      <c r="C119" s="6"/>
      <c r="D119" s="6"/>
      <c r="E119" s="6"/>
      <c r="F119" s="6"/>
      <c r="G119" s="6"/>
      <c r="H119" s="6"/>
      <c r="I119" s="2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2"/>
      <c r="B120" s="6"/>
      <c r="C120" s="6"/>
      <c r="D120" s="6"/>
      <c r="E120" s="6"/>
      <c r="F120" s="6"/>
      <c r="G120" s="6"/>
      <c r="H120" s="6"/>
      <c r="I120" s="2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2"/>
      <c r="B121" s="6"/>
      <c r="C121" s="6"/>
      <c r="D121" s="6"/>
      <c r="E121" s="6"/>
      <c r="F121" s="6"/>
      <c r="G121" s="6"/>
      <c r="H121" s="6"/>
      <c r="I121" s="2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2"/>
      <c r="B122" s="6"/>
      <c r="C122" s="6"/>
      <c r="D122" s="6"/>
      <c r="E122" s="6"/>
      <c r="F122" s="6"/>
      <c r="G122" s="6"/>
      <c r="H122" s="6"/>
      <c r="I122" s="2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2"/>
      <c r="B123" s="6"/>
      <c r="C123" s="6"/>
      <c r="D123" s="6"/>
      <c r="E123" s="6"/>
      <c r="F123" s="6"/>
      <c r="G123" s="6"/>
      <c r="H123" s="6"/>
      <c r="I123" s="2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2"/>
      <c r="B124" s="6"/>
      <c r="C124" s="6"/>
      <c r="D124" s="6"/>
      <c r="E124" s="6"/>
      <c r="F124" s="6"/>
      <c r="G124" s="6"/>
      <c r="H124" s="6"/>
      <c r="I124" s="2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2"/>
      <c r="B125" s="6"/>
      <c r="C125" s="6"/>
      <c r="D125" s="6"/>
      <c r="E125" s="6"/>
      <c r="F125" s="6"/>
      <c r="G125" s="6"/>
      <c r="H125" s="6"/>
      <c r="I125" s="2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2"/>
      <c r="B126" s="6"/>
      <c r="C126" s="6"/>
      <c r="D126" s="6"/>
      <c r="E126" s="6"/>
      <c r="F126" s="6"/>
      <c r="G126" s="6"/>
      <c r="H126" s="6"/>
      <c r="I126" s="2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2"/>
      <c r="B127" s="6"/>
      <c r="C127" s="6"/>
      <c r="D127" s="6"/>
      <c r="E127" s="6"/>
      <c r="F127" s="6"/>
      <c r="G127" s="6"/>
      <c r="H127" s="6"/>
      <c r="I127" s="2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2"/>
      <c r="B128" s="6"/>
      <c r="C128" s="6"/>
      <c r="D128" s="6"/>
      <c r="E128" s="6"/>
      <c r="F128" s="6"/>
      <c r="G128" s="6"/>
      <c r="H128" s="6"/>
      <c r="I128" s="2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2"/>
      <c r="B129" s="6"/>
      <c r="C129" s="6"/>
      <c r="D129" s="6"/>
      <c r="E129" s="6"/>
      <c r="F129" s="6"/>
      <c r="G129" s="6"/>
      <c r="H129" s="6"/>
      <c r="I129" s="2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2"/>
      <c r="B130" s="6"/>
      <c r="C130" s="6"/>
      <c r="D130" s="6"/>
      <c r="E130" s="6"/>
      <c r="F130" s="6"/>
      <c r="G130" s="6"/>
      <c r="H130" s="6"/>
      <c r="I130" s="2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2"/>
      <c r="B131" s="6"/>
      <c r="C131" s="6"/>
      <c r="D131" s="6"/>
      <c r="E131" s="6"/>
      <c r="F131" s="6"/>
      <c r="G131" s="6"/>
      <c r="H131" s="6"/>
      <c r="I131" s="2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2"/>
      <c r="B132" s="6"/>
      <c r="C132" s="6"/>
      <c r="D132" s="6"/>
      <c r="E132" s="6"/>
      <c r="F132" s="6"/>
      <c r="G132" s="6"/>
      <c r="H132" s="6"/>
      <c r="I132" s="2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2"/>
      <c r="B133" s="6"/>
      <c r="C133" s="6"/>
      <c r="D133" s="6"/>
      <c r="E133" s="6"/>
      <c r="F133" s="6"/>
      <c r="G133" s="6"/>
      <c r="H133" s="6"/>
      <c r="I133" s="2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2"/>
      <c r="B134" s="6"/>
      <c r="C134" s="6"/>
      <c r="D134" s="6"/>
      <c r="E134" s="6"/>
      <c r="F134" s="6"/>
      <c r="G134" s="6"/>
      <c r="H134" s="6"/>
      <c r="I134" s="2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2"/>
      <c r="B135" s="6"/>
      <c r="C135" s="6"/>
      <c r="D135" s="6"/>
      <c r="E135" s="6"/>
      <c r="F135" s="6"/>
      <c r="G135" s="6"/>
      <c r="H135" s="6"/>
      <c r="I135" s="2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2"/>
      <c r="B136" s="6"/>
      <c r="C136" s="6"/>
      <c r="D136" s="6"/>
      <c r="E136" s="6"/>
      <c r="F136" s="6"/>
      <c r="G136" s="6"/>
      <c r="H136" s="6"/>
      <c r="I136" s="2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2"/>
      <c r="B137" s="6"/>
      <c r="C137" s="6"/>
      <c r="D137" s="6"/>
      <c r="E137" s="6"/>
      <c r="F137" s="6"/>
      <c r="G137" s="6"/>
      <c r="H137" s="6"/>
      <c r="I137" s="2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2"/>
      <c r="B138" s="6"/>
      <c r="C138" s="6"/>
      <c r="D138" s="6"/>
      <c r="E138" s="6"/>
      <c r="F138" s="6"/>
      <c r="G138" s="6"/>
      <c r="H138" s="6"/>
      <c r="I138" s="2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2"/>
      <c r="B139" s="6"/>
      <c r="C139" s="6"/>
      <c r="D139" s="6"/>
      <c r="E139" s="6"/>
      <c r="F139" s="6"/>
      <c r="G139" s="6"/>
      <c r="H139" s="6"/>
      <c r="I139" s="2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2"/>
      <c r="B140" s="6"/>
      <c r="C140" s="6"/>
      <c r="D140" s="6"/>
      <c r="E140" s="6"/>
      <c r="F140" s="6"/>
      <c r="G140" s="6"/>
      <c r="H140" s="6"/>
      <c r="I140" s="2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2"/>
      <c r="B141" s="6"/>
      <c r="C141" s="6"/>
      <c r="D141" s="6"/>
      <c r="E141" s="6"/>
      <c r="F141" s="6"/>
      <c r="G141" s="6"/>
      <c r="H141" s="6"/>
      <c r="I141" s="2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2"/>
      <c r="B142" s="6"/>
      <c r="C142" s="6"/>
      <c r="D142" s="6"/>
      <c r="E142" s="6"/>
      <c r="F142" s="6"/>
      <c r="G142" s="6"/>
      <c r="H142" s="6"/>
      <c r="I142" s="2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2"/>
      <c r="B143" s="6"/>
      <c r="C143" s="6"/>
      <c r="D143" s="6"/>
      <c r="E143" s="6"/>
      <c r="F143" s="6"/>
      <c r="G143" s="6"/>
      <c r="H143" s="6"/>
      <c r="I143" s="2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2"/>
      <c r="B144" s="6"/>
      <c r="C144" s="6"/>
      <c r="D144" s="6"/>
      <c r="E144" s="6"/>
      <c r="F144" s="6"/>
      <c r="G144" s="6"/>
      <c r="H144" s="6"/>
      <c r="I144" s="2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2"/>
      <c r="B145" s="6"/>
      <c r="C145" s="6"/>
      <c r="D145" s="6"/>
      <c r="E145" s="6"/>
      <c r="F145" s="6"/>
      <c r="G145" s="6"/>
      <c r="H145" s="6"/>
      <c r="I145" s="2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2"/>
      <c r="B146" s="6"/>
      <c r="C146" s="6"/>
      <c r="D146" s="6"/>
      <c r="E146" s="6"/>
      <c r="F146" s="6"/>
      <c r="G146" s="6"/>
      <c r="H146" s="6"/>
      <c r="I146" s="2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2"/>
      <c r="B147" s="6"/>
      <c r="C147" s="6"/>
      <c r="D147" s="6"/>
      <c r="E147" s="6"/>
      <c r="F147" s="6"/>
      <c r="G147" s="6"/>
      <c r="H147" s="6"/>
      <c r="I147" s="2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2"/>
      <c r="B148" s="6"/>
      <c r="C148" s="6"/>
      <c r="D148" s="6"/>
      <c r="E148" s="6"/>
      <c r="F148" s="6"/>
      <c r="G148" s="6"/>
      <c r="H148" s="6"/>
      <c r="I148" s="2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2"/>
      <c r="B149" s="6"/>
      <c r="C149" s="6"/>
      <c r="D149" s="6"/>
      <c r="E149" s="6"/>
      <c r="F149" s="6"/>
      <c r="G149" s="6"/>
      <c r="H149" s="6"/>
      <c r="I149" s="2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2"/>
      <c r="B150" s="6"/>
      <c r="C150" s="6"/>
      <c r="D150" s="6"/>
      <c r="E150" s="6"/>
      <c r="F150" s="6"/>
      <c r="G150" s="6"/>
      <c r="H150" s="6"/>
      <c r="I150" s="2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2"/>
      <c r="B151" s="6"/>
      <c r="C151" s="6"/>
      <c r="D151" s="6"/>
      <c r="E151" s="6"/>
      <c r="F151" s="6"/>
      <c r="G151" s="6"/>
      <c r="H151" s="6"/>
      <c r="I151" s="2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2"/>
      <c r="B152" s="6"/>
      <c r="C152" s="6"/>
      <c r="D152" s="6"/>
      <c r="E152" s="6"/>
      <c r="F152" s="6"/>
      <c r="G152" s="6"/>
      <c r="H152" s="6"/>
      <c r="I152" s="2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2"/>
      <c r="B153" s="6"/>
      <c r="C153" s="6"/>
      <c r="D153" s="6"/>
      <c r="E153" s="6"/>
      <c r="F153" s="6"/>
      <c r="G153" s="6"/>
      <c r="H153" s="6"/>
      <c r="I153" s="2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2"/>
      <c r="B154" s="6"/>
      <c r="C154" s="6"/>
      <c r="D154" s="6"/>
      <c r="E154" s="6"/>
      <c r="F154" s="6"/>
      <c r="G154" s="6"/>
      <c r="H154" s="6"/>
      <c r="I154" s="2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2"/>
      <c r="B155" s="6"/>
      <c r="C155" s="6"/>
      <c r="D155" s="6"/>
      <c r="E155" s="6"/>
      <c r="F155" s="6"/>
      <c r="G155" s="6"/>
      <c r="H155" s="6"/>
      <c r="I155" s="2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2"/>
      <c r="B156" s="6"/>
      <c r="C156" s="6"/>
      <c r="D156" s="6"/>
      <c r="E156" s="6"/>
      <c r="F156" s="6"/>
      <c r="G156" s="6"/>
      <c r="H156" s="6"/>
      <c r="I156" s="2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2"/>
      <c r="B157" s="6"/>
      <c r="C157" s="6"/>
      <c r="D157" s="6"/>
      <c r="E157" s="6"/>
      <c r="F157" s="6"/>
      <c r="G157" s="6"/>
      <c r="H157" s="6"/>
      <c r="I157" s="2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2"/>
      <c r="B158" s="6"/>
      <c r="C158" s="6"/>
      <c r="D158" s="6"/>
      <c r="E158" s="6"/>
      <c r="F158" s="6"/>
      <c r="G158" s="6"/>
      <c r="H158" s="6"/>
      <c r="I158" s="2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2"/>
      <c r="B159" s="6"/>
      <c r="C159" s="6"/>
      <c r="D159" s="6"/>
      <c r="E159" s="6"/>
      <c r="F159" s="6"/>
      <c r="G159" s="6"/>
      <c r="H159" s="6"/>
      <c r="I159" s="2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2"/>
      <c r="B160" s="6"/>
      <c r="C160" s="6"/>
      <c r="D160" s="6"/>
      <c r="E160" s="6"/>
      <c r="F160" s="6"/>
      <c r="G160" s="6"/>
      <c r="H160" s="6"/>
      <c r="I160" s="2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2"/>
      <c r="B161" s="6"/>
      <c r="C161" s="6"/>
      <c r="D161" s="6"/>
      <c r="E161" s="6"/>
      <c r="F161" s="6"/>
      <c r="G161" s="6"/>
      <c r="H161" s="6"/>
      <c r="I161" s="2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2"/>
      <c r="B162" s="6"/>
      <c r="C162" s="6"/>
      <c r="D162" s="6"/>
      <c r="E162" s="6"/>
      <c r="F162" s="6"/>
      <c r="G162" s="6"/>
      <c r="H162" s="6"/>
      <c r="I162" s="2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2"/>
      <c r="B163" s="6"/>
      <c r="C163" s="6"/>
      <c r="D163" s="6"/>
      <c r="E163" s="6"/>
      <c r="F163" s="6"/>
      <c r="G163" s="6"/>
      <c r="H163" s="6"/>
      <c r="I163" s="2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2"/>
      <c r="B164" s="6"/>
      <c r="C164" s="6"/>
      <c r="D164" s="6"/>
      <c r="E164" s="6"/>
      <c r="F164" s="6"/>
      <c r="G164" s="6"/>
      <c r="H164" s="6"/>
      <c r="I164" s="2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2"/>
      <c r="B165" s="6"/>
      <c r="C165" s="6"/>
      <c r="D165" s="6"/>
      <c r="E165" s="6"/>
      <c r="F165" s="6"/>
      <c r="G165" s="6"/>
      <c r="H165" s="6"/>
      <c r="I165" s="2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2"/>
      <c r="B166" s="6"/>
      <c r="C166" s="6"/>
      <c r="D166" s="6"/>
      <c r="E166" s="6"/>
      <c r="F166" s="6"/>
      <c r="G166" s="6"/>
      <c r="H166" s="6"/>
      <c r="I166" s="2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2"/>
      <c r="B167" s="6"/>
      <c r="C167" s="6"/>
      <c r="D167" s="6"/>
      <c r="E167" s="6"/>
      <c r="F167" s="6"/>
      <c r="G167" s="6"/>
      <c r="H167" s="6"/>
      <c r="I167" s="2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2"/>
      <c r="B168" s="6"/>
      <c r="C168" s="6"/>
      <c r="D168" s="6"/>
      <c r="E168" s="6"/>
      <c r="F168" s="6"/>
      <c r="G168" s="6"/>
      <c r="H168" s="6"/>
      <c r="I168" s="2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2"/>
      <c r="B169" s="6"/>
      <c r="C169" s="6"/>
      <c r="D169" s="6"/>
      <c r="E169" s="6"/>
      <c r="F169" s="6"/>
      <c r="G169" s="6"/>
      <c r="H169" s="6"/>
      <c r="I169" s="2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2"/>
      <c r="B170" s="6"/>
      <c r="C170" s="6"/>
      <c r="D170" s="6"/>
      <c r="E170" s="6"/>
      <c r="F170" s="6"/>
      <c r="G170" s="6"/>
      <c r="H170" s="6"/>
      <c r="I170" s="2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2"/>
      <c r="B171" s="6"/>
      <c r="C171" s="6"/>
      <c r="D171" s="6"/>
      <c r="E171" s="6"/>
      <c r="F171" s="6"/>
      <c r="G171" s="6"/>
      <c r="H171" s="6"/>
      <c r="I171" s="2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2"/>
      <c r="B172" s="6"/>
      <c r="C172" s="6"/>
      <c r="D172" s="6"/>
      <c r="E172" s="6"/>
      <c r="F172" s="6"/>
      <c r="G172" s="6"/>
      <c r="H172" s="6"/>
      <c r="I172" s="2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2"/>
      <c r="B173" s="6"/>
      <c r="C173" s="6"/>
      <c r="D173" s="6"/>
      <c r="E173" s="6"/>
      <c r="F173" s="6"/>
      <c r="G173" s="6"/>
      <c r="H173" s="6"/>
      <c r="I173" s="2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2"/>
      <c r="B174" s="6"/>
      <c r="C174" s="6"/>
      <c r="D174" s="6"/>
      <c r="E174" s="6"/>
      <c r="F174" s="6"/>
      <c r="G174" s="6"/>
      <c r="H174" s="6"/>
      <c r="I174" s="2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2"/>
      <c r="B175" s="6"/>
      <c r="C175" s="6"/>
      <c r="D175" s="6"/>
      <c r="E175" s="6"/>
      <c r="F175" s="6"/>
      <c r="G175" s="6"/>
      <c r="H175" s="6"/>
      <c r="I175" s="2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2"/>
      <c r="B176" s="6"/>
      <c r="C176" s="6"/>
      <c r="D176" s="6"/>
      <c r="E176" s="6"/>
      <c r="F176" s="6"/>
      <c r="G176" s="6"/>
      <c r="H176" s="6"/>
      <c r="I176" s="2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2"/>
      <c r="B177" s="6"/>
      <c r="C177" s="6"/>
      <c r="D177" s="6"/>
      <c r="E177" s="6"/>
      <c r="F177" s="6"/>
      <c r="G177" s="6"/>
      <c r="H177" s="6"/>
      <c r="I177" s="2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2"/>
      <c r="B178" s="6"/>
      <c r="C178" s="6"/>
      <c r="D178" s="6"/>
      <c r="E178" s="6"/>
      <c r="F178" s="6"/>
      <c r="G178" s="6"/>
      <c r="H178" s="6"/>
      <c r="I178" s="2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2"/>
      <c r="B179" s="6"/>
      <c r="C179" s="6"/>
      <c r="D179" s="6"/>
      <c r="E179" s="6"/>
      <c r="F179" s="6"/>
      <c r="G179" s="6"/>
      <c r="H179" s="6"/>
      <c r="I179" s="2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2"/>
      <c r="B180" s="6"/>
      <c r="C180" s="6"/>
      <c r="D180" s="6"/>
      <c r="E180" s="6"/>
      <c r="F180" s="6"/>
      <c r="G180" s="6"/>
      <c r="H180" s="6"/>
      <c r="I180" s="2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2"/>
      <c r="B181" s="6"/>
      <c r="C181" s="6"/>
      <c r="D181" s="6"/>
      <c r="E181" s="6"/>
      <c r="F181" s="6"/>
      <c r="G181" s="6"/>
      <c r="H181" s="6"/>
      <c r="I181" s="2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2"/>
      <c r="B182" s="6"/>
      <c r="C182" s="6"/>
      <c r="D182" s="6"/>
      <c r="E182" s="6"/>
      <c r="F182" s="6"/>
      <c r="G182" s="6"/>
      <c r="H182" s="6"/>
      <c r="I182" s="2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2"/>
      <c r="B183" s="6"/>
      <c r="C183" s="6"/>
      <c r="D183" s="6"/>
      <c r="E183" s="6"/>
      <c r="F183" s="6"/>
      <c r="G183" s="6"/>
      <c r="H183" s="6"/>
      <c r="I183" s="2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2"/>
      <c r="B184" s="6"/>
      <c r="C184" s="6"/>
      <c r="D184" s="6"/>
      <c r="E184" s="6"/>
      <c r="F184" s="6"/>
      <c r="G184" s="6"/>
      <c r="H184" s="6"/>
      <c r="I184" s="2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2"/>
      <c r="B185" s="6"/>
      <c r="C185" s="6"/>
      <c r="D185" s="6"/>
      <c r="E185" s="6"/>
      <c r="F185" s="6"/>
      <c r="G185" s="6"/>
      <c r="H185" s="6"/>
      <c r="I185" s="2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2"/>
      <c r="B186" s="6"/>
      <c r="C186" s="6"/>
      <c r="D186" s="6"/>
      <c r="E186" s="6"/>
      <c r="F186" s="6"/>
      <c r="G186" s="6"/>
      <c r="H186" s="6"/>
      <c r="I186" s="2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2"/>
      <c r="B187" s="6"/>
      <c r="C187" s="6"/>
      <c r="D187" s="6"/>
      <c r="E187" s="6"/>
      <c r="F187" s="6"/>
      <c r="G187" s="6"/>
      <c r="H187" s="6"/>
      <c r="I187" s="2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2"/>
      <c r="B188" s="6"/>
      <c r="C188" s="6"/>
      <c r="D188" s="6"/>
      <c r="E188" s="6"/>
      <c r="F188" s="6"/>
      <c r="G188" s="6"/>
      <c r="H188" s="6"/>
      <c r="I188" s="2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2"/>
      <c r="B189" s="6"/>
      <c r="C189" s="6"/>
      <c r="D189" s="6"/>
      <c r="E189" s="6"/>
      <c r="F189" s="6"/>
      <c r="G189" s="6"/>
      <c r="H189" s="6"/>
      <c r="I189" s="2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2"/>
      <c r="B190" s="6"/>
      <c r="C190" s="6"/>
      <c r="D190" s="6"/>
      <c r="E190" s="6"/>
      <c r="F190" s="6"/>
      <c r="G190" s="6"/>
      <c r="H190" s="6"/>
      <c r="I190" s="2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2"/>
      <c r="B191" s="6"/>
      <c r="C191" s="6"/>
      <c r="D191" s="6"/>
      <c r="E191" s="6"/>
      <c r="F191" s="6"/>
      <c r="G191" s="6"/>
      <c r="H191" s="6"/>
      <c r="I191" s="2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2"/>
      <c r="B192" s="6"/>
      <c r="C192" s="6"/>
      <c r="D192" s="6"/>
      <c r="E192" s="6"/>
      <c r="F192" s="6"/>
      <c r="G192" s="6"/>
      <c r="H192" s="6"/>
      <c r="I192" s="2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2"/>
      <c r="B193" s="6"/>
      <c r="C193" s="6"/>
      <c r="D193" s="6"/>
      <c r="E193" s="6"/>
      <c r="F193" s="6"/>
      <c r="G193" s="6"/>
      <c r="H193" s="6"/>
      <c r="I193" s="2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2"/>
      <c r="B194" s="6"/>
      <c r="C194" s="6"/>
      <c r="D194" s="6"/>
      <c r="E194" s="6"/>
      <c r="F194" s="6"/>
      <c r="G194" s="6"/>
      <c r="H194" s="6"/>
      <c r="I194" s="2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2"/>
      <c r="B195" s="6"/>
      <c r="C195" s="6"/>
      <c r="D195" s="6"/>
      <c r="E195" s="6"/>
      <c r="F195" s="6"/>
      <c r="G195" s="6"/>
      <c r="H195" s="6"/>
      <c r="I195" s="2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2"/>
      <c r="B196" s="6"/>
      <c r="C196" s="6"/>
      <c r="D196" s="6"/>
      <c r="E196" s="6"/>
      <c r="F196" s="6"/>
      <c r="G196" s="6"/>
      <c r="H196" s="6"/>
      <c r="I196" s="2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2"/>
      <c r="B197" s="6"/>
      <c r="C197" s="6"/>
      <c r="D197" s="6"/>
      <c r="E197" s="6"/>
      <c r="F197" s="6"/>
      <c r="G197" s="6"/>
      <c r="H197" s="6"/>
      <c r="I197" s="2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2"/>
      <c r="B198" s="6"/>
      <c r="C198" s="6"/>
      <c r="D198" s="6"/>
      <c r="E198" s="6"/>
      <c r="F198" s="6"/>
      <c r="G198" s="6"/>
      <c r="H198" s="6"/>
      <c r="I198" s="2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2"/>
      <c r="B199" s="6"/>
      <c r="C199" s="6"/>
      <c r="D199" s="6"/>
      <c r="E199" s="6"/>
      <c r="F199" s="6"/>
      <c r="G199" s="6"/>
      <c r="H199" s="6"/>
      <c r="I199" s="2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2"/>
      <c r="B200" s="6"/>
      <c r="C200" s="6"/>
      <c r="D200" s="6"/>
      <c r="E200" s="6"/>
      <c r="F200" s="6"/>
      <c r="G200" s="6"/>
      <c r="H200" s="6"/>
      <c r="I200" s="2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2"/>
      <c r="B201" s="6"/>
      <c r="C201" s="6"/>
      <c r="D201" s="6"/>
      <c r="E201" s="6"/>
      <c r="F201" s="6"/>
      <c r="G201" s="6"/>
      <c r="H201" s="6"/>
      <c r="I201" s="2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2"/>
      <c r="B202" s="6"/>
      <c r="C202" s="6"/>
      <c r="D202" s="6"/>
      <c r="E202" s="6"/>
      <c r="F202" s="6"/>
      <c r="G202" s="6"/>
      <c r="H202" s="6"/>
      <c r="I202" s="2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2"/>
      <c r="B203" s="6"/>
      <c r="C203" s="6"/>
      <c r="D203" s="6"/>
      <c r="E203" s="6"/>
      <c r="F203" s="6"/>
      <c r="G203" s="6"/>
      <c r="H203" s="6"/>
      <c r="I203" s="2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2"/>
      <c r="B204" s="6"/>
      <c r="C204" s="6"/>
      <c r="D204" s="6"/>
      <c r="E204" s="6"/>
      <c r="F204" s="6"/>
      <c r="G204" s="6"/>
      <c r="H204" s="6"/>
      <c r="I204" s="2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2"/>
      <c r="B205" s="6"/>
      <c r="C205" s="6"/>
      <c r="D205" s="6"/>
      <c r="E205" s="6"/>
      <c r="F205" s="6"/>
      <c r="G205" s="6"/>
      <c r="H205" s="6"/>
      <c r="I205" s="2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2"/>
      <c r="B206" s="6"/>
      <c r="C206" s="6"/>
      <c r="D206" s="6"/>
      <c r="E206" s="6"/>
      <c r="F206" s="6"/>
      <c r="G206" s="6"/>
      <c r="H206" s="6"/>
      <c r="I206" s="2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2"/>
      <c r="B207" s="6"/>
      <c r="C207" s="6"/>
      <c r="D207" s="6"/>
      <c r="E207" s="6"/>
      <c r="F207" s="6"/>
      <c r="G207" s="6"/>
      <c r="H207" s="6"/>
      <c r="I207" s="2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2"/>
      <c r="B208" s="6"/>
      <c r="C208" s="6"/>
      <c r="D208" s="6"/>
      <c r="E208" s="6"/>
      <c r="F208" s="6"/>
      <c r="G208" s="6"/>
      <c r="H208" s="6"/>
      <c r="I208" s="2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2"/>
      <c r="B209" s="6"/>
      <c r="C209" s="6"/>
      <c r="D209" s="6"/>
      <c r="E209" s="6"/>
      <c r="F209" s="6"/>
      <c r="G209" s="6"/>
      <c r="H209" s="6"/>
      <c r="I209" s="2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2"/>
      <c r="B210" s="6"/>
      <c r="C210" s="6"/>
      <c r="D210" s="6"/>
      <c r="E210" s="6"/>
      <c r="F210" s="6"/>
      <c r="G210" s="6"/>
      <c r="H210" s="6"/>
      <c r="I210" s="2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2"/>
      <c r="B211" s="6"/>
      <c r="C211" s="6"/>
      <c r="D211" s="6"/>
      <c r="E211" s="6"/>
      <c r="F211" s="6"/>
      <c r="G211" s="6"/>
      <c r="H211" s="6"/>
      <c r="I211" s="2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2"/>
      <c r="B212" s="6"/>
      <c r="C212" s="6"/>
      <c r="D212" s="6"/>
      <c r="E212" s="6"/>
      <c r="F212" s="6"/>
      <c r="G212" s="6"/>
      <c r="H212" s="6"/>
      <c r="I212" s="2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2"/>
      <c r="B213" s="6"/>
      <c r="C213" s="6"/>
      <c r="D213" s="6"/>
      <c r="E213" s="6"/>
      <c r="F213" s="6"/>
      <c r="G213" s="6"/>
      <c r="H213" s="6"/>
      <c r="I213" s="2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2"/>
      <c r="B214" s="6"/>
      <c r="C214" s="6"/>
      <c r="D214" s="6"/>
      <c r="E214" s="6"/>
      <c r="F214" s="6"/>
      <c r="G214" s="6"/>
      <c r="H214" s="6"/>
      <c r="I214" s="2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2"/>
      <c r="B215" s="6"/>
      <c r="C215" s="6"/>
      <c r="D215" s="6"/>
      <c r="E215" s="6"/>
      <c r="F215" s="6"/>
      <c r="G215" s="6"/>
      <c r="H215" s="6"/>
      <c r="I215" s="2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2"/>
      <c r="B216" s="6"/>
      <c r="C216" s="6"/>
      <c r="D216" s="6"/>
      <c r="E216" s="6"/>
      <c r="F216" s="6"/>
      <c r="G216" s="6"/>
      <c r="H216" s="6"/>
      <c r="I216" s="2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2"/>
      <c r="B217" s="6"/>
      <c r="C217" s="6"/>
      <c r="D217" s="6"/>
      <c r="E217" s="6"/>
      <c r="F217" s="6"/>
      <c r="G217" s="6"/>
      <c r="H217" s="6"/>
      <c r="I217" s="2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2"/>
      <c r="B218" s="6"/>
      <c r="C218" s="6"/>
      <c r="D218" s="6"/>
      <c r="E218" s="6"/>
      <c r="F218" s="6"/>
      <c r="G218" s="6"/>
      <c r="H218" s="6"/>
      <c r="I218" s="2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2"/>
      <c r="B219" s="6"/>
      <c r="C219" s="6"/>
      <c r="D219" s="6"/>
      <c r="E219" s="6"/>
      <c r="F219" s="6"/>
      <c r="G219" s="6"/>
      <c r="H219" s="6"/>
      <c r="I219" s="2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2"/>
      <c r="B220" s="6"/>
      <c r="C220" s="6"/>
      <c r="D220" s="6"/>
      <c r="E220" s="6"/>
      <c r="F220" s="6"/>
      <c r="G220" s="6"/>
      <c r="H220" s="6"/>
      <c r="I220" s="2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2"/>
      <c r="B221" s="6"/>
      <c r="C221" s="6"/>
      <c r="D221" s="6"/>
      <c r="E221" s="6"/>
      <c r="F221" s="6"/>
      <c r="G221" s="6"/>
      <c r="H221" s="6"/>
      <c r="I221" s="2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2"/>
      <c r="B222" s="6"/>
      <c r="C222" s="6"/>
      <c r="D222" s="6"/>
      <c r="E222" s="6"/>
      <c r="F222" s="6"/>
      <c r="G222" s="6"/>
      <c r="H222" s="6"/>
      <c r="I222" s="2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2"/>
      <c r="B223" s="6"/>
      <c r="C223" s="6"/>
      <c r="D223" s="6"/>
      <c r="E223" s="6"/>
      <c r="F223" s="6"/>
      <c r="G223" s="6"/>
      <c r="H223" s="6"/>
      <c r="I223" s="2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2"/>
      <c r="B224" s="6"/>
      <c r="C224" s="6"/>
      <c r="D224" s="6"/>
      <c r="E224" s="6"/>
      <c r="F224" s="6"/>
      <c r="G224" s="6"/>
      <c r="H224" s="6"/>
      <c r="I224" s="2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2"/>
      <c r="B225" s="6"/>
      <c r="C225" s="6"/>
      <c r="D225" s="6"/>
      <c r="E225" s="6"/>
      <c r="F225" s="6"/>
      <c r="G225" s="6"/>
      <c r="H225" s="6"/>
      <c r="I225" s="2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2"/>
      <c r="B226" s="6"/>
      <c r="C226" s="6"/>
      <c r="D226" s="6"/>
      <c r="E226" s="6"/>
      <c r="F226" s="6"/>
      <c r="G226" s="6"/>
      <c r="H226" s="6"/>
      <c r="I226" s="2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2"/>
      <c r="B227" s="6"/>
      <c r="C227" s="6"/>
      <c r="D227" s="6"/>
      <c r="E227" s="6"/>
      <c r="F227" s="6"/>
      <c r="G227" s="6"/>
      <c r="H227" s="6"/>
      <c r="I227" s="2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2"/>
      <c r="B228" s="6"/>
      <c r="C228" s="6"/>
      <c r="D228" s="6"/>
      <c r="E228" s="6"/>
      <c r="F228" s="6"/>
      <c r="G228" s="6"/>
      <c r="H228" s="6"/>
      <c r="I228" s="2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2"/>
      <c r="B229" s="6"/>
      <c r="C229" s="6"/>
      <c r="D229" s="6"/>
      <c r="E229" s="6"/>
      <c r="F229" s="6"/>
      <c r="G229" s="6"/>
      <c r="H229" s="6"/>
      <c r="I229" s="2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2"/>
      <c r="B230" s="6"/>
      <c r="C230" s="6"/>
      <c r="D230" s="6"/>
      <c r="E230" s="6"/>
      <c r="F230" s="6"/>
      <c r="G230" s="6"/>
      <c r="H230" s="6"/>
      <c r="I230" s="2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2"/>
      <c r="B231" s="6"/>
      <c r="C231" s="6"/>
      <c r="D231" s="6"/>
      <c r="E231" s="6"/>
      <c r="F231" s="6"/>
      <c r="G231" s="6"/>
      <c r="H231" s="6"/>
      <c r="I231" s="2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2"/>
      <c r="B232" s="6"/>
      <c r="C232" s="6"/>
      <c r="D232" s="6"/>
      <c r="E232" s="6"/>
      <c r="F232" s="6"/>
      <c r="G232" s="6"/>
      <c r="H232" s="6"/>
      <c r="I232" s="2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2"/>
      <c r="B233" s="6"/>
      <c r="C233" s="6"/>
      <c r="D233" s="6"/>
      <c r="E233" s="6"/>
      <c r="F233" s="6"/>
      <c r="G233" s="6"/>
      <c r="H233" s="6"/>
      <c r="I233" s="2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2"/>
      <c r="B234" s="6"/>
      <c r="C234" s="6"/>
      <c r="D234" s="6"/>
      <c r="E234" s="6"/>
      <c r="F234" s="6"/>
      <c r="G234" s="6"/>
      <c r="H234" s="6"/>
      <c r="I234" s="2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2"/>
      <c r="B235" s="6"/>
      <c r="C235" s="6"/>
      <c r="D235" s="6"/>
      <c r="E235" s="6"/>
      <c r="F235" s="6"/>
      <c r="G235" s="6"/>
      <c r="H235" s="6"/>
      <c r="I235" s="2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2"/>
      <c r="B236" s="6"/>
      <c r="C236" s="6"/>
      <c r="D236" s="6"/>
      <c r="E236" s="6"/>
      <c r="F236" s="6"/>
      <c r="G236" s="6"/>
      <c r="H236" s="6"/>
      <c r="I236" s="2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2"/>
      <c r="B237" s="6"/>
      <c r="C237" s="6"/>
      <c r="D237" s="6"/>
      <c r="E237" s="6"/>
      <c r="F237" s="6"/>
      <c r="G237" s="6"/>
      <c r="H237" s="6"/>
      <c r="I237" s="2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2"/>
      <c r="B238" s="6"/>
      <c r="C238" s="6"/>
      <c r="D238" s="6"/>
      <c r="E238" s="6"/>
      <c r="F238" s="6"/>
      <c r="G238" s="6"/>
      <c r="H238" s="6"/>
      <c r="I238" s="2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2"/>
      <c r="B239" s="6"/>
      <c r="C239" s="6"/>
      <c r="D239" s="6"/>
      <c r="E239" s="6"/>
      <c r="F239" s="6"/>
      <c r="G239" s="6"/>
      <c r="H239" s="6"/>
      <c r="I239" s="2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2"/>
      <c r="B240" s="6"/>
      <c r="C240" s="6"/>
      <c r="D240" s="6"/>
      <c r="E240" s="6"/>
      <c r="F240" s="6"/>
      <c r="G240" s="6"/>
      <c r="H240" s="6"/>
      <c r="I240" s="2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2"/>
      <c r="B241" s="6"/>
      <c r="C241" s="6"/>
      <c r="D241" s="6"/>
      <c r="E241" s="6"/>
      <c r="F241" s="6"/>
      <c r="G241" s="6"/>
      <c r="H241" s="6"/>
      <c r="I241" s="2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2"/>
      <c r="B242" s="6"/>
      <c r="C242" s="6"/>
      <c r="D242" s="6"/>
      <c r="E242" s="6"/>
      <c r="F242" s="6"/>
      <c r="G242" s="6"/>
      <c r="H242" s="6"/>
      <c r="I242" s="2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2"/>
      <c r="B243" s="6"/>
      <c r="C243" s="6"/>
      <c r="D243" s="6"/>
      <c r="E243" s="6"/>
      <c r="F243" s="6"/>
      <c r="G243" s="6"/>
      <c r="H243" s="6"/>
      <c r="I243" s="2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2"/>
      <c r="B244" s="6"/>
      <c r="C244" s="6"/>
      <c r="D244" s="6"/>
      <c r="E244" s="6"/>
      <c r="F244" s="6"/>
      <c r="G244" s="6"/>
      <c r="H244" s="6"/>
      <c r="I244" s="2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2"/>
      <c r="B245" s="6"/>
      <c r="C245" s="6"/>
      <c r="D245" s="6"/>
      <c r="E245" s="6"/>
      <c r="F245" s="6"/>
      <c r="G245" s="6"/>
      <c r="H245" s="6"/>
      <c r="I245" s="2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2"/>
      <c r="B246" s="6"/>
      <c r="C246" s="6"/>
      <c r="D246" s="6"/>
      <c r="E246" s="6"/>
      <c r="F246" s="6"/>
      <c r="G246" s="6"/>
      <c r="H246" s="6"/>
      <c r="I246" s="2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2"/>
      <c r="B247" s="6"/>
      <c r="C247" s="6"/>
      <c r="D247" s="6"/>
      <c r="E247" s="6"/>
      <c r="F247" s="6"/>
      <c r="G247" s="6"/>
      <c r="H247" s="6"/>
      <c r="I247" s="2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2"/>
      <c r="B248" s="6"/>
      <c r="C248" s="6"/>
      <c r="D248" s="6"/>
      <c r="E248" s="6"/>
      <c r="F248" s="6"/>
      <c r="G248" s="6"/>
      <c r="H248" s="6"/>
      <c r="I248" s="2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2"/>
      <c r="B249" s="6"/>
      <c r="C249" s="6"/>
      <c r="D249" s="6"/>
      <c r="E249" s="6"/>
      <c r="F249" s="6"/>
      <c r="G249" s="6"/>
      <c r="H249" s="6"/>
      <c r="I249" s="2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2"/>
      <c r="B250" s="6"/>
      <c r="C250" s="6"/>
      <c r="D250" s="6"/>
      <c r="E250" s="6"/>
      <c r="F250" s="6"/>
      <c r="G250" s="6"/>
      <c r="H250" s="6"/>
      <c r="I250" s="2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2"/>
      <c r="B251" s="6"/>
      <c r="C251" s="6"/>
      <c r="D251" s="6"/>
      <c r="E251" s="6"/>
      <c r="F251" s="6"/>
      <c r="G251" s="6"/>
      <c r="H251" s="6"/>
      <c r="I251" s="2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2"/>
      <c r="B252" s="6"/>
      <c r="C252" s="6"/>
      <c r="D252" s="6"/>
      <c r="E252" s="6"/>
      <c r="F252" s="6"/>
      <c r="G252" s="6"/>
      <c r="H252" s="6"/>
      <c r="I252" s="2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2"/>
      <c r="B253" s="6"/>
      <c r="C253" s="6"/>
      <c r="D253" s="6"/>
      <c r="E253" s="6"/>
      <c r="F253" s="6"/>
      <c r="G253" s="6"/>
      <c r="H253" s="6"/>
      <c r="I253" s="2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2"/>
      <c r="B254" s="6"/>
      <c r="C254" s="6"/>
      <c r="D254" s="6"/>
      <c r="E254" s="6"/>
      <c r="F254" s="6"/>
      <c r="G254" s="6"/>
      <c r="H254" s="6"/>
      <c r="I254" s="2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2"/>
      <c r="B255" s="6"/>
      <c r="C255" s="6"/>
      <c r="D255" s="6"/>
      <c r="E255" s="6"/>
      <c r="F255" s="6"/>
      <c r="G255" s="6"/>
      <c r="H255" s="6"/>
      <c r="I255" s="2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2"/>
      <c r="B256" s="6"/>
      <c r="C256" s="6"/>
      <c r="D256" s="6"/>
      <c r="E256" s="6"/>
      <c r="F256" s="6"/>
      <c r="G256" s="6"/>
      <c r="H256" s="6"/>
      <c r="I256" s="2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2"/>
      <c r="B257" s="6"/>
      <c r="C257" s="6"/>
      <c r="D257" s="6"/>
      <c r="E257" s="6"/>
      <c r="F257" s="6"/>
      <c r="G257" s="6"/>
      <c r="H257" s="6"/>
      <c r="I257" s="2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2"/>
      <c r="B258" s="6"/>
      <c r="C258" s="6"/>
      <c r="D258" s="6"/>
      <c r="E258" s="6"/>
      <c r="F258" s="6"/>
      <c r="G258" s="6"/>
      <c r="H258" s="6"/>
      <c r="I258" s="2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2"/>
      <c r="B259" s="6"/>
      <c r="C259" s="6"/>
      <c r="D259" s="6"/>
      <c r="E259" s="6"/>
      <c r="F259" s="6"/>
      <c r="G259" s="6"/>
      <c r="H259" s="6"/>
      <c r="I259" s="2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2"/>
      <c r="B260" s="6"/>
      <c r="C260" s="6"/>
      <c r="D260" s="6"/>
      <c r="E260" s="6"/>
      <c r="F260" s="6"/>
      <c r="G260" s="6"/>
      <c r="H260" s="6"/>
      <c r="I260" s="2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2"/>
      <c r="B261" s="6"/>
      <c r="C261" s="6"/>
      <c r="D261" s="6"/>
      <c r="E261" s="6"/>
      <c r="F261" s="6"/>
      <c r="G261" s="6"/>
      <c r="H261" s="6"/>
      <c r="I261" s="2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2"/>
      <c r="B262" s="6"/>
      <c r="C262" s="6"/>
      <c r="D262" s="6"/>
      <c r="E262" s="6"/>
      <c r="F262" s="6"/>
      <c r="G262" s="6"/>
      <c r="H262" s="6"/>
      <c r="I262" s="2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2"/>
      <c r="B263" s="6"/>
      <c r="C263" s="6"/>
      <c r="D263" s="6"/>
      <c r="E263" s="6"/>
      <c r="F263" s="6"/>
      <c r="G263" s="6"/>
      <c r="H263" s="6"/>
      <c r="I263" s="2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2"/>
      <c r="B264" s="6"/>
      <c r="C264" s="6"/>
      <c r="D264" s="6"/>
      <c r="E264" s="6"/>
      <c r="F264" s="6"/>
      <c r="G264" s="6"/>
      <c r="H264" s="6"/>
      <c r="I264" s="2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2"/>
      <c r="B265" s="6"/>
      <c r="C265" s="6"/>
      <c r="D265" s="6"/>
      <c r="E265" s="6"/>
      <c r="F265" s="6"/>
      <c r="G265" s="6"/>
      <c r="H265" s="6"/>
      <c r="I265" s="2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2"/>
      <c r="B266" s="6"/>
      <c r="C266" s="6"/>
      <c r="D266" s="6"/>
      <c r="E266" s="6"/>
      <c r="F266" s="6"/>
      <c r="G266" s="6"/>
      <c r="H266" s="6"/>
      <c r="I266" s="2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2"/>
      <c r="B267" s="6"/>
      <c r="C267" s="6"/>
      <c r="D267" s="6"/>
      <c r="E267" s="6"/>
      <c r="F267" s="6"/>
      <c r="G267" s="6"/>
      <c r="H267" s="6"/>
      <c r="I267" s="2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2"/>
      <c r="B268" s="6"/>
      <c r="C268" s="6"/>
      <c r="D268" s="6"/>
      <c r="E268" s="6"/>
      <c r="F268" s="6"/>
      <c r="G268" s="6"/>
      <c r="H268" s="6"/>
      <c r="I268" s="2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2"/>
      <c r="B269" s="6"/>
      <c r="C269" s="6"/>
      <c r="D269" s="6"/>
      <c r="E269" s="6"/>
      <c r="F269" s="6"/>
      <c r="G269" s="6"/>
      <c r="H269" s="6"/>
      <c r="I269" s="2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2"/>
      <c r="B270" s="6"/>
      <c r="C270" s="6"/>
      <c r="D270" s="6"/>
      <c r="E270" s="6"/>
      <c r="F270" s="6"/>
      <c r="G270" s="6"/>
      <c r="H270" s="6"/>
      <c r="I270" s="2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2"/>
      <c r="B271" s="6"/>
      <c r="C271" s="6"/>
      <c r="D271" s="6"/>
      <c r="E271" s="6"/>
      <c r="F271" s="6"/>
      <c r="G271" s="6"/>
      <c r="H271" s="6"/>
      <c r="I271" s="2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2"/>
      <c r="B272" s="6"/>
      <c r="C272" s="6"/>
      <c r="D272" s="6"/>
      <c r="E272" s="6"/>
      <c r="F272" s="6"/>
      <c r="G272" s="6"/>
      <c r="H272" s="6"/>
      <c r="I272" s="2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2"/>
      <c r="B273" s="6"/>
      <c r="C273" s="6"/>
      <c r="D273" s="6"/>
      <c r="E273" s="6"/>
      <c r="F273" s="6"/>
      <c r="G273" s="6"/>
      <c r="H273" s="6"/>
      <c r="I273" s="2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2"/>
      <c r="B274" s="6"/>
      <c r="C274" s="6"/>
      <c r="D274" s="6"/>
      <c r="E274" s="6"/>
      <c r="F274" s="6"/>
      <c r="G274" s="6"/>
      <c r="H274" s="6"/>
      <c r="I274" s="2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2"/>
      <c r="B275" s="6"/>
      <c r="C275" s="6"/>
      <c r="D275" s="6"/>
      <c r="E275" s="6"/>
      <c r="F275" s="6"/>
      <c r="G275" s="6"/>
      <c r="H275" s="6"/>
      <c r="I275" s="2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2"/>
      <c r="B276" s="6"/>
      <c r="C276" s="6"/>
      <c r="D276" s="6"/>
      <c r="E276" s="6"/>
      <c r="F276" s="6"/>
      <c r="G276" s="6"/>
      <c r="H276" s="6"/>
      <c r="I276" s="2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2"/>
      <c r="B277" s="6"/>
      <c r="C277" s="6"/>
      <c r="D277" s="6"/>
      <c r="E277" s="6"/>
      <c r="F277" s="6"/>
      <c r="G277" s="6"/>
      <c r="H277" s="6"/>
      <c r="I277" s="2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2"/>
      <c r="B278" s="6"/>
      <c r="C278" s="6"/>
      <c r="D278" s="6"/>
      <c r="E278" s="6"/>
      <c r="F278" s="6"/>
      <c r="G278" s="6"/>
      <c r="H278" s="6"/>
      <c r="I278" s="2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2"/>
      <c r="B279" s="6"/>
      <c r="C279" s="6"/>
      <c r="D279" s="6"/>
      <c r="E279" s="6"/>
      <c r="F279" s="6"/>
      <c r="G279" s="6"/>
      <c r="H279" s="6"/>
      <c r="I279" s="2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2"/>
      <c r="B280" s="6"/>
      <c r="C280" s="6"/>
      <c r="D280" s="6"/>
      <c r="E280" s="6"/>
      <c r="F280" s="6"/>
      <c r="G280" s="6"/>
      <c r="H280" s="6"/>
      <c r="I280" s="2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2"/>
      <c r="B281" s="6"/>
      <c r="C281" s="6"/>
      <c r="D281" s="6"/>
      <c r="E281" s="6"/>
      <c r="F281" s="6"/>
      <c r="G281" s="6"/>
      <c r="H281" s="6"/>
      <c r="I281" s="2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2"/>
      <c r="B282" s="6"/>
      <c r="C282" s="6"/>
      <c r="D282" s="6"/>
      <c r="E282" s="6"/>
      <c r="F282" s="6"/>
      <c r="G282" s="6"/>
      <c r="H282" s="6"/>
      <c r="I282" s="2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2"/>
      <c r="B283" s="6"/>
      <c r="C283" s="6"/>
      <c r="D283" s="6"/>
      <c r="E283" s="6"/>
      <c r="F283" s="6"/>
      <c r="G283" s="6"/>
      <c r="H283" s="6"/>
      <c r="I283" s="2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2"/>
      <c r="B284" s="6"/>
      <c r="C284" s="6"/>
      <c r="D284" s="6"/>
      <c r="E284" s="6"/>
      <c r="F284" s="6"/>
      <c r="G284" s="6"/>
      <c r="H284" s="6"/>
      <c r="I284" s="2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2"/>
      <c r="B285" s="6"/>
      <c r="C285" s="6"/>
      <c r="D285" s="6"/>
      <c r="E285" s="6"/>
      <c r="F285" s="6"/>
      <c r="G285" s="6"/>
      <c r="H285" s="6"/>
      <c r="I285" s="2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2"/>
      <c r="B286" s="6"/>
      <c r="C286" s="6"/>
      <c r="D286" s="6"/>
      <c r="E286" s="6"/>
      <c r="F286" s="6"/>
      <c r="G286" s="6"/>
      <c r="H286" s="6"/>
      <c r="I286" s="2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2"/>
      <c r="B287" s="6"/>
      <c r="C287" s="6"/>
      <c r="D287" s="6"/>
      <c r="E287" s="6"/>
      <c r="F287" s="6"/>
      <c r="G287" s="6"/>
      <c r="H287" s="6"/>
      <c r="I287" s="2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2"/>
      <c r="B288" s="6"/>
      <c r="C288" s="6"/>
      <c r="D288" s="6"/>
      <c r="E288" s="6"/>
      <c r="F288" s="6"/>
      <c r="G288" s="6"/>
      <c r="H288" s="6"/>
      <c r="I288" s="2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2"/>
      <c r="B289" s="6"/>
      <c r="C289" s="6"/>
      <c r="D289" s="6"/>
      <c r="E289" s="6"/>
      <c r="F289" s="6"/>
      <c r="G289" s="6"/>
      <c r="H289" s="6"/>
      <c r="I289" s="2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2"/>
      <c r="B290" s="6"/>
      <c r="C290" s="6"/>
      <c r="D290" s="6"/>
      <c r="E290" s="6"/>
      <c r="F290" s="6"/>
      <c r="G290" s="6"/>
      <c r="H290" s="6"/>
      <c r="I290" s="2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2"/>
      <c r="B291" s="6"/>
      <c r="C291" s="6"/>
      <c r="D291" s="6"/>
      <c r="E291" s="6"/>
      <c r="F291" s="6"/>
      <c r="G291" s="6"/>
      <c r="H291" s="6"/>
      <c r="I291" s="2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2"/>
      <c r="B292" s="6"/>
      <c r="C292" s="6"/>
      <c r="D292" s="6"/>
      <c r="E292" s="6"/>
      <c r="F292" s="6"/>
      <c r="G292" s="6"/>
      <c r="H292" s="6"/>
      <c r="I292" s="2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2"/>
      <c r="B293" s="6"/>
      <c r="C293" s="6"/>
      <c r="D293" s="6"/>
      <c r="E293" s="6"/>
      <c r="F293" s="6"/>
      <c r="G293" s="6"/>
      <c r="H293" s="6"/>
      <c r="I293" s="2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2"/>
      <c r="B294" s="6"/>
      <c r="C294" s="6"/>
      <c r="D294" s="6"/>
      <c r="E294" s="6"/>
      <c r="F294" s="6"/>
      <c r="G294" s="6"/>
      <c r="H294" s="6"/>
      <c r="I294" s="2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2"/>
      <c r="B295" s="6"/>
      <c r="C295" s="6"/>
      <c r="D295" s="6"/>
      <c r="E295" s="6"/>
      <c r="F295" s="6"/>
      <c r="G295" s="6"/>
      <c r="H295" s="6"/>
      <c r="I295" s="2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2"/>
      <c r="B296" s="6"/>
      <c r="C296" s="6"/>
      <c r="D296" s="6"/>
      <c r="E296" s="6"/>
      <c r="F296" s="6"/>
      <c r="G296" s="6"/>
      <c r="H296" s="6"/>
      <c r="I296" s="2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2"/>
      <c r="B297" s="6"/>
      <c r="C297" s="6"/>
      <c r="D297" s="6"/>
      <c r="E297" s="6"/>
      <c r="F297" s="6"/>
      <c r="G297" s="6"/>
      <c r="H297" s="6"/>
      <c r="I297" s="2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2"/>
      <c r="B298" s="6"/>
      <c r="C298" s="6"/>
      <c r="D298" s="6"/>
      <c r="E298" s="6"/>
      <c r="F298" s="6"/>
      <c r="G298" s="6"/>
      <c r="H298" s="6"/>
      <c r="I298" s="2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2"/>
      <c r="B299" s="6"/>
      <c r="C299" s="6"/>
      <c r="D299" s="6"/>
      <c r="E299" s="6"/>
      <c r="F299" s="6"/>
      <c r="G299" s="6"/>
      <c r="H299" s="6"/>
      <c r="I299" s="2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2"/>
      <c r="B300" s="6"/>
      <c r="C300" s="6"/>
      <c r="D300" s="6"/>
      <c r="E300" s="6"/>
      <c r="F300" s="6"/>
      <c r="G300" s="6"/>
      <c r="H300" s="6"/>
      <c r="I300" s="2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2"/>
      <c r="B301" s="6"/>
      <c r="C301" s="6"/>
      <c r="D301" s="6"/>
      <c r="E301" s="6"/>
      <c r="F301" s="6"/>
      <c r="G301" s="6"/>
      <c r="H301" s="6"/>
      <c r="I301" s="2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2"/>
      <c r="B302" s="6"/>
      <c r="C302" s="6"/>
      <c r="D302" s="6"/>
      <c r="E302" s="6"/>
      <c r="F302" s="6"/>
      <c r="G302" s="6"/>
      <c r="H302" s="6"/>
      <c r="I302" s="2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2"/>
      <c r="B303" s="6"/>
      <c r="C303" s="6"/>
      <c r="D303" s="6"/>
      <c r="E303" s="6"/>
      <c r="F303" s="6"/>
      <c r="G303" s="6"/>
      <c r="H303" s="6"/>
      <c r="I303" s="2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2"/>
      <c r="B304" s="6"/>
      <c r="C304" s="6"/>
      <c r="D304" s="6"/>
      <c r="E304" s="6"/>
      <c r="F304" s="6"/>
      <c r="G304" s="6"/>
      <c r="H304" s="6"/>
      <c r="I304" s="2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2"/>
      <c r="B305" s="6"/>
      <c r="C305" s="6"/>
      <c r="D305" s="6"/>
      <c r="E305" s="6"/>
      <c r="F305" s="6"/>
      <c r="G305" s="6"/>
      <c r="H305" s="6"/>
      <c r="I305" s="2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2"/>
      <c r="B306" s="6"/>
      <c r="C306" s="6"/>
      <c r="D306" s="6"/>
      <c r="E306" s="6"/>
      <c r="F306" s="6"/>
      <c r="G306" s="6"/>
      <c r="H306" s="6"/>
      <c r="I306" s="2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2"/>
      <c r="B307" s="6"/>
      <c r="C307" s="6"/>
      <c r="D307" s="6"/>
      <c r="E307" s="6"/>
      <c r="F307" s="6"/>
      <c r="G307" s="6"/>
      <c r="H307" s="6"/>
      <c r="I307" s="2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2"/>
      <c r="B308" s="6"/>
      <c r="C308" s="6"/>
      <c r="D308" s="6"/>
      <c r="E308" s="6"/>
      <c r="F308" s="6"/>
      <c r="G308" s="6"/>
      <c r="H308" s="6"/>
      <c r="I308" s="2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2"/>
      <c r="B309" s="6"/>
      <c r="C309" s="6"/>
      <c r="D309" s="6"/>
      <c r="E309" s="6"/>
      <c r="F309" s="6"/>
      <c r="G309" s="6"/>
      <c r="H309" s="6"/>
      <c r="I309" s="2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2"/>
      <c r="B310" s="6"/>
      <c r="C310" s="6"/>
      <c r="D310" s="6"/>
      <c r="E310" s="6"/>
      <c r="F310" s="6"/>
      <c r="G310" s="6"/>
      <c r="H310" s="6"/>
      <c r="I310" s="2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2"/>
      <c r="B311" s="6"/>
      <c r="C311" s="6"/>
      <c r="D311" s="6"/>
      <c r="E311" s="6"/>
      <c r="F311" s="6"/>
      <c r="G311" s="6"/>
      <c r="H311" s="6"/>
      <c r="I311" s="2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2"/>
      <c r="B312" s="6"/>
      <c r="C312" s="6"/>
      <c r="D312" s="6"/>
      <c r="E312" s="6"/>
      <c r="F312" s="6"/>
      <c r="G312" s="6"/>
      <c r="H312" s="6"/>
      <c r="I312" s="2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2"/>
      <c r="B313" s="6"/>
      <c r="C313" s="6"/>
      <c r="D313" s="6"/>
      <c r="E313" s="6"/>
      <c r="F313" s="6"/>
      <c r="G313" s="6"/>
      <c r="H313" s="6"/>
      <c r="I313" s="2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2"/>
      <c r="B314" s="6"/>
      <c r="C314" s="6"/>
      <c r="D314" s="6"/>
      <c r="E314" s="6"/>
      <c r="F314" s="6"/>
      <c r="G314" s="6"/>
      <c r="H314" s="6"/>
      <c r="I314" s="2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2"/>
      <c r="B315" s="6"/>
      <c r="C315" s="6"/>
      <c r="D315" s="6"/>
      <c r="E315" s="6"/>
      <c r="F315" s="6"/>
      <c r="G315" s="6"/>
      <c r="H315" s="6"/>
      <c r="I315" s="2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2"/>
      <c r="B316" s="6"/>
      <c r="C316" s="6"/>
      <c r="D316" s="6"/>
      <c r="E316" s="6"/>
      <c r="F316" s="6"/>
      <c r="G316" s="6"/>
      <c r="H316" s="6"/>
      <c r="I316" s="2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2"/>
      <c r="B317" s="6"/>
      <c r="C317" s="6"/>
      <c r="D317" s="6"/>
      <c r="E317" s="6"/>
      <c r="F317" s="6"/>
      <c r="G317" s="6"/>
      <c r="H317" s="6"/>
      <c r="I317" s="2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2"/>
      <c r="B318" s="6"/>
      <c r="C318" s="6"/>
      <c r="D318" s="6"/>
      <c r="E318" s="6"/>
      <c r="F318" s="6"/>
      <c r="G318" s="6"/>
      <c r="H318" s="6"/>
      <c r="I318" s="2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2"/>
      <c r="B319" s="6"/>
      <c r="C319" s="6"/>
      <c r="D319" s="6"/>
      <c r="E319" s="6"/>
      <c r="F319" s="6"/>
      <c r="G319" s="6"/>
      <c r="H319" s="6"/>
      <c r="I319" s="2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2"/>
      <c r="B320" s="6"/>
      <c r="C320" s="6"/>
      <c r="D320" s="6"/>
      <c r="E320" s="6"/>
      <c r="F320" s="6"/>
      <c r="G320" s="6"/>
      <c r="H320" s="6"/>
      <c r="I320" s="2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2"/>
      <c r="B321" s="6"/>
      <c r="C321" s="6"/>
      <c r="D321" s="6"/>
      <c r="E321" s="6"/>
      <c r="F321" s="6"/>
      <c r="G321" s="6"/>
      <c r="H321" s="6"/>
      <c r="I321" s="2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2"/>
      <c r="B322" s="6"/>
      <c r="C322" s="6"/>
      <c r="D322" s="6"/>
      <c r="E322" s="6"/>
      <c r="F322" s="6"/>
      <c r="G322" s="6"/>
      <c r="H322" s="6"/>
      <c r="I322" s="2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2"/>
      <c r="B323" s="6"/>
      <c r="C323" s="6"/>
      <c r="D323" s="6"/>
      <c r="E323" s="6"/>
      <c r="F323" s="6"/>
      <c r="G323" s="6"/>
      <c r="H323" s="6"/>
      <c r="I323" s="2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2"/>
      <c r="B324" s="6"/>
      <c r="C324" s="6"/>
      <c r="D324" s="6"/>
      <c r="E324" s="6"/>
      <c r="F324" s="6"/>
      <c r="G324" s="6"/>
      <c r="H324" s="6"/>
      <c r="I324" s="2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2"/>
      <c r="B325" s="6"/>
      <c r="C325" s="6"/>
      <c r="D325" s="6"/>
      <c r="E325" s="6"/>
      <c r="F325" s="6"/>
      <c r="G325" s="6"/>
      <c r="H325" s="6"/>
      <c r="I325" s="2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2"/>
      <c r="B326" s="6"/>
      <c r="C326" s="6"/>
      <c r="D326" s="6"/>
      <c r="E326" s="6"/>
      <c r="F326" s="6"/>
      <c r="G326" s="6"/>
      <c r="H326" s="6"/>
      <c r="I326" s="2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2"/>
      <c r="B327" s="6"/>
      <c r="C327" s="6"/>
      <c r="D327" s="6"/>
      <c r="E327" s="6"/>
      <c r="F327" s="6"/>
      <c r="G327" s="6"/>
      <c r="H327" s="6"/>
      <c r="I327" s="2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2"/>
      <c r="B328" s="6"/>
      <c r="C328" s="6"/>
      <c r="D328" s="6"/>
      <c r="E328" s="6"/>
      <c r="F328" s="6"/>
      <c r="G328" s="6"/>
      <c r="H328" s="6"/>
      <c r="I328" s="2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2"/>
      <c r="B329" s="6"/>
      <c r="C329" s="6"/>
      <c r="D329" s="6"/>
      <c r="E329" s="6"/>
      <c r="F329" s="6"/>
      <c r="G329" s="6"/>
      <c r="H329" s="6"/>
      <c r="I329" s="2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2"/>
      <c r="B330" s="6"/>
      <c r="C330" s="6"/>
      <c r="D330" s="6"/>
      <c r="E330" s="6"/>
      <c r="F330" s="6"/>
      <c r="G330" s="6"/>
      <c r="H330" s="6"/>
      <c r="I330" s="2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2"/>
      <c r="B331" s="6"/>
      <c r="C331" s="6"/>
      <c r="D331" s="6"/>
      <c r="E331" s="6"/>
      <c r="F331" s="6"/>
      <c r="G331" s="6"/>
      <c r="H331" s="6"/>
      <c r="I331" s="2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2"/>
      <c r="B332" s="6"/>
      <c r="C332" s="6"/>
      <c r="D332" s="6"/>
      <c r="E332" s="6"/>
      <c r="F332" s="6"/>
      <c r="G332" s="6"/>
      <c r="H332" s="6"/>
      <c r="I332" s="2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2"/>
      <c r="B333" s="6"/>
      <c r="C333" s="6"/>
      <c r="D333" s="6"/>
      <c r="E333" s="6"/>
      <c r="F333" s="6"/>
      <c r="G333" s="6"/>
      <c r="H333" s="6"/>
      <c r="I333" s="2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2"/>
      <c r="B334" s="6"/>
      <c r="C334" s="6"/>
      <c r="D334" s="6"/>
      <c r="E334" s="6"/>
      <c r="F334" s="6"/>
      <c r="G334" s="6"/>
      <c r="H334" s="6"/>
      <c r="I334" s="2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2"/>
      <c r="B335" s="6"/>
      <c r="C335" s="6"/>
      <c r="D335" s="6"/>
      <c r="E335" s="6"/>
      <c r="F335" s="6"/>
      <c r="G335" s="6"/>
      <c r="H335" s="6"/>
      <c r="I335" s="2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2"/>
      <c r="B336" s="6"/>
      <c r="C336" s="6"/>
      <c r="D336" s="6"/>
      <c r="E336" s="6"/>
      <c r="F336" s="6"/>
      <c r="G336" s="6"/>
      <c r="H336" s="6"/>
      <c r="I336" s="2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2"/>
      <c r="B337" s="6"/>
      <c r="C337" s="6"/>
      <c r="D337" s="6"/>
      <c r="E337" s="6"/>
      <c r="F337" s="6"/>
      <c r="G337" s="6"/>
      <c r="H337" s="6"/>
      <c r="I337" s="2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2"/>
      <c r="B338" s="6"/>
      <c r="C338" s="6"/>
      <c r="D338" s="6"/>
      <c r="E338" s="6"/>
      <c r="F338" s="6"/>
      <c r="G338" s="6"/>
      <c r="H338" s="6"/>
      <c r="I338" s="2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2"/>
      <c r="B339" s="6"/>
      <c r="C339" s="6"/>
      <c r="D339" s="6"/>
      <c r="E339" s="6"/>
      <c r="F339" s="6"/>
      <c r="G339" s="6"/>
      <c r="H339" s="6"/>
      <c r="I339" s="2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2"/>
      <c r="B340" s="6"/>
      <c r="C340" s="6"/>
      <c r="D340" s="6"/>
      <c r="E340" s="6"/>
      <c r="F340" s="6"/>
      <c r="G340" s="6"/>
      <c r="H340" s="6"/>
      <c r="I340" s="2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2"/>
      <c r="B341" s="6"/>
      <c r="C341" s="6"/>
      <c r="D341" s="6"/>
      <c r="E341" s="6"/>
      <c r="F341" s="6"/>
      <c r="G341" s="6"/>
      <c r="H341" s="6"/>
      <c r="I341" s="2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2"/>
      <c r="B342" s="6"/>
      <c r="C342" s="6"/>
      <c r="D342" s="6"/>
      <c r="E342" s="6"/>
      <c r="F342" s="6"/>
      <c r="G342" s="6"/>
      <c r="H342" s="6"/>
      <c r="I342" s="2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2"/>
      <c r="B343" s="6"/>
      <c r="C343" s="6"/>
      <c r="D343" s="6"/>
      <c r="E343" s="6"/>
      <c r="F343" s="6"/>
      <c r="G343" s="6"/>
      <c r="H343" s="6"/>
      <c r="I343" s="2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2"/>
      <c r="B344" s="6"/>
      <c r="C344" s="6"/>
      <c r="D344" s="6"/>
      <c r="E344" s="6"/>
      <c r="F344" s="6"/>
      <c r="G344" s="6"/>
      <c r="H344" s="6"/>
      <c r="I344" s="2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2"/>
      <c r="B345" s="6"/>
      <c r="C345" s="6"/>
      <c r="D345" s="6"/>
      <c r="E345" s="6"/>
      <c r="F345" s="6"/>
      <c r="G345" s="6"/>
      <c r="H345" s="6"/>
      <c r="I345" s="2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2"/>
      <c r="B346" s="6"/>
      <c r="C346" s="6"/>
      <c r="D346" s="6"/>
      <c r="E346" s="6"/>
      <c r="F346" s="6"/>
      <c r="G346" s="6"/>
      <c r="H346" s="6"/>
      <c r="I346" s="2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2"/>
      <c r="B347" s="6"/>
      <c r="C347" s="6"/>
      <c r="D347" s="6"/>
      <c r="E347" s="6"/>
      <c r="F347" s="6"/>
      <c r="G347" s="6"/>
      <c r="H347" s="6"/>
      <c r="I347" s="2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2"/>
      <c r="B348" s="6"/>
      <c r="C348" s="6"/>
      <c r="D348" s="6"/>
      <c r="E348" s="6"/>
      <c r="F348" s="6"/>
      <c r="G348" s="6"/>
      <c r="H348" s="6"/>
      <c r="I348" s="2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2"/>
      <c r="B349" s="6"/>
      <c r="C349" s="6"/>
      <c r="D349" s="6"/>
      <c r="E349" s="6"/>
      <c r="F349" s="6"/>
      <c r="G349" s="6"/>
      <c r="H349" s="6"/>
      <c r="I349" s="2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2"/>
      <c r="B350" s="6"/>
      <c r="C350" s="6"/>
      <c r="D350" s="6"/>
      <c r="E350" s="6"/>
      <c r="F350" s="6"/>
      <c r="G350" s="6"/>
      <c r="H350" s="6"/>
      <c r="I350" s="2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2"/>
      <c r="B351" s="6"/>
      <c r="C351" s="6"/>
      <c r="D351" s="6"/>
      <c r="E351" s="6"/>
      <c r="F351" s="6"/>
      <c r="G351" s="6"/>
      <c r="H351" s="6"/>
      <c r="I351" s="2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2"/>
      <c r="B352" s="6"/>
      <c r="C352" s="6"/>
      <c r="D352" s="6"/>
      <c r="E352" s="6"/>
      <c r="F352" s="6"/>
      <c r="G352" s="6"/>
      <c r="H352" s="6"/>
      <c r="I352" s="2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2"/>
      <c r="B353" s="6"/>
      <c r="C353" s="6"/>
      <c r="D353" s="6"/>
      <c r="E353" s="6"/>
      <c r="F353" s="6"/>
      <c r="G353" s="6"/>
      <c r="H353" s="6"/>
      <c r="I353" s="2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2"/>
      <c r="B354" s="6"/>
      <c r="C354" s="6"/>
      <c r="D354" s="6"/>
      <c r="E354" s="6"/>
      <c r="F354" s="6"/>
      <c r="G354" s="6"/>
      <c r="H354" s="6"/>
      <c r="I354" s="2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2"/>
      <c r="B355" s="6"/>
      <c r="C355" s="6"/>
      <c r="D355" s="6"/>
      <c r="E355" s="6"/>
      <c r="F355" s="6"/>
      <c r="G355" s="6"/>
      <c r="H355" s="6"/>
      <c r="I355" s="2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2"/>
      <c r="B356" s="6"/>
      <c r="C356" s="6"/>
      <c r="D356" s="6"/>
      <c r="E356" s="6"/>
      <c r="F356" s="6"/>
      <c r="G356" s="6"/>
      <c r="H356" s="6"/>
      <c r="I356" s="2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2"/>
      <c r="B357" s="6"/>
      <c r="C357" s="6"/>
      <c r="D357" s="6"/>
      <c r="E357" s="6"/>
      <c r="F357" s="6"/>
      <c r="G357" s="6"/>
      <c r="H357" s="6"/>
      <c r="I357" s="2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2"/>
      <c r="B358" s="6"/>
      <c r="C358" s="6"/>
      <c r="D358" s="6"/>
      <c r="E358" s="6"/>
      <c r="F358" s="6"/>
      <c r="G358" s="6"/>
      <c r="H358" s="6"/>
      <c r="I358" s="2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2"/>
      <c r="B359" s="6"/>
      <c r="C359" s="6"/>
      <c r="D359" s="6"/>
      <c r="E359" s="6"/>
      <c r="F359" s="6"/>
      <c r="G359" s="6"/>
      <c r="H359" s="6"/>
      <c r="I359" s="2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2"/>
      <c r="B360" s="6"/>
      <c r="C360" s="6"/>
      <c r="D360" s="6"/>
      <c r="E360" s="6"/>
      <c r="F360" s="6"/>
      <c r="G360" s="6"/>
      <c r="H360" s="6"/>
      <c r="I360" s="2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2"/>
      <c r="B361" s="6"/>
      <c r="C361" s="6"/>
      <c r="D361" s="6"/>
      <c r="E361" s="6"/>
      <c r="F361" s="6"/>
      <c r="G361" s="6"/>
      <c r="H361" s="6"/>
      <c r="I361" s="2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2"/>
      <c r="B362" s="6"/>
      <c r="C362" s="6"/>
      <c r="D362" s="6"/>
      <c r="E362" s="6"/>
      <c r="F362" s="6"/>
      <c r="G362" s="6"/>
      <c r="H362" s="6"/>
      <c r="I362" s="2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2"/>
      <c r="B363" s="6"/>
      <c r="C363" s="6"/>
      <c r="D363" s="6"/>
      <c r="E363" s="6"/>
      <c r="F363" s="6"/>
      <c r="G363" s="6"/>
      <c r="H363" s="6"/>
      <c r="I363" s="2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2"/>
      <c r="B364" s="6"/>
      <c r="C364" s="6"/>
      <c r="D364" s="6"/>
      <c r="E364" s="6"/>
      <c r="F364" s="6"/>
      <c r="G364" s="6"/>
      <c r="H364" s="6"/>
      <c r="I364" s="2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2"/>
      <c r="B365" s="6"/>
      <c r="C365" s="6"/>
      <c r="D365" s="6"/>
      <c r="E365" s="6"/>
      <c r="F365" s="6"/>
      <c r="G365" s="6"/>
      <c r="H365" s="6"/>
      <c r="I365" s="2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2"/>
      <c r="B366" s="6"/>
      <c r="C366" s="6"/>
      <c r="D366" s="6"/>
      <c r="E366" s="6"/>
      <c r="F366" s="6"/>
      <c r="G366" s="6"/>
      <c r="H366" s="6"/>
      <c r="I366" s="2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2"/>
      <c r="B367" s="6"/>
      <c r="C367" s="6"/>
      <c r="D367" s="6"/>
      <c r="E367" s="6"/>
      <c r="F367" s="6"/>
      <c r="G367" s="6"/>
      <c r="H367" s="6"/>
      <c r="I367" s="2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2"/>
      <c r="B368" s="6"/>
      <c r="C368" s="6"/>
      <c r="D368" s="6"/>
      <c r="E368" s="6"/>
      <c r="F368" s="6"/>
      <c r="G368" s="6"/>
      <c r="H368" s="6"/>
      <c r="I368" s="2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2"/>
      <c r="B369" s="6"/>
      <c r="C369" s="6"/>
      <c r="D369" s="6"/>
      <c r="E369" s="6"/>
      <c r="F369" s="6"/>
      <c r="G369" s="6"/>
      <c r="H369" s="6"/>
      <c r="I369" s="2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2"/>
      <c r="B370" s="6"/>
      <c r="C370" s="6"/>
      <c r="D370" s="6"/>
      <c r="E370" s="6"/>
      <c r="F370" s="6"/>
      <c r="G370" s="6"/>
      <c r="H370" s="6"/>
      <c r="I370" s="2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2"/>
      <c r="B371" s="6"/>
      <c r="C371" s="6"/>
      <c r="D371" s="6"/>
      <c r="E371" s="6"/>
      <c r="F371" s="6"/>
      <c r="G371" s="6"/>
      <c r="H371" s="6"/>
      <c r="I371" s="2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2"/>
      <c r="B372" s="6"/>
      <c r="C372" s="6"/>
      <c r="D372" s="6"/>
      <c r="E372" s="6"/>
      <c r="F372" s="6"/>
      <c r="G372" s="6"/>
      <c r="H372" s="6"/>
      <c r="I372" s="2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2"/>
      <c r="B373" s="6"/>
      <c r="C373" s="6"/>
      <c r="D373" s="6"/>
      <c r="E373" s="6"/>
      <c r="F373" s="6"/>
      <c r="G373" s="6"/>
      <c r="H373" s="6"/>
      <c r="I373" s="2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2"/>
      <c r="B374" s="6"/>
      <c r="C374" s="6"/>
      <c r="D374" s="6"/>
      <c r="E374" s="6"/>
      <c r="F374" s="6"/>
      <c r="G374" s="6"/>
      <c r="H374" s="6"/>
      <c r="I374" s="2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2"/>
      <c r="B375" s="6"/>
      <c r="C375" s="6"/>
      <c r="D375" s="6"/>
      <c r="E375" s="6"/>
      <c r="F375" s="6"/>
      <c r="G375" s="6"/>
      <c r="H375" s="6"/>
      <c r="I375" s="2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2"/>
      <c r="B376" s="6"/>
      <c r="C376" s="6"/>
      <c r="D376" s="6"/>
      <c r="E376" s="6"/>
      <c r="F376" s="6"/>
      <c r="G376" s="6"/>
      <c r="H376" s="6"/>
      <c r="I376" s="2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2"/>
      <c r="B377" s="6"/>
      <c r="C377" s="6"/>
      <c r="D377" s="6"/>
      <c r="E377" s="6"/>
      <c r="F377" s="6"/>
      <c r="G377" s="6"/>
      <c r="H377" s="6"/>
      <c r="I377" s="2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2"/>
      <c r="B378" s="6"/>
      <c r="C378" s="6"/>
      <c r="D378" s="6"/>
      <c r="E378" s="6"/>
      <c r="F378" s="6"/>
      <c r="G378" s="6"/>
      <c r="H378" s="6"/>
      <c r="I378" s="2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2"/>
      <c r="B379" s="6"/>
      <c r="C379" s="6"/>
      <c r="D379" s="6"/>
      <c r="E379" s="6"/>
      <c r="F379" s="6"/>
      <c r="G379" s="6"/>
      <c r="H379" s="6"/>
      <c r="I379" s="2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2"/>
      <c r="B380" s="6"/>
      <c r="C380" s="6"/>
      <c r="D380" s="6"/>
      <c r="E380" s="6"/>
      <c r="F380" s="6"/>
      <c r="G380" s="6"/>
      <c r="H380" s="6"/>
      <c r="I380" s="2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2"/>
      <c r="B381" s="6"/>
      <c r="C381" s="6"/>
      <c r="D381" s="6"/>
      <c r="E381" s="6"/>
      <c r="F381" s="6"/>
      <c r="G381" s="6"/>
      <c r="H381" s="6"/>
      <c r="I381" s="2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2"/>
      <c r="B382" s="6"/>
      <c r="C382" s="6"/>
      <c r="D382" s="6"/>
      <c r="E382" s="6"/>
      <c r="F382" s="6"/>
      <c r="G382" s="6"/>
      <c r="H382" s="6"/>
      <c r="I382" s="2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2"/>
      <c r="B383" s="6"/>
      <c r="C383" s="6"/>
      <c r="D383" s="6"/>
      <c r="E383" s="6"/>
      <c r="F383" s="6"/>
      <c r="G383" s="6"/>
      <c r="H383" s="6"/>
      <c r="I383" s="2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2"/>
      <c r="B384" s="6"/>
      <c r="C384" s="6"/>
      <c r="D384" s="6"/>
      <c r="E384" s="6"/>
      <c r="F384" s="6"/>
      <c r="G384" s="6"/>
      <c r="H384" s="6"/>
      <c r="I384" s="2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2"/>
      <c r="B385" s="6"/>
      <c r="C385" s="6"/>
      <c r="D385" s="6"/>
      <c r="E385" s="6"/>
      <c r="F385" s="6"/>
      <c r="G385" s="6"/>
      <c r="H385" s="6"/>
      <c r="I385" s="2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2"/>
      <c r="B386" s="6"/>
      <c r="C386" s="6"/>
      <c r="D386" s="6"/>
      <c r="E386" s="6"/>
      <c r="F386" s="6"/>
      <c r="G386" s="6"/>
      <c r="H386" s="6"/>
      <c r="I386" s="2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2"/>
      <c r="B387" s="6"/>
      <c r="C387" s="6"/>
      <c r="D387" s="6"/>
      <c r="E387" s="6"/>
      <c r="F387" s="6"/>
      <c r="G387" s="6"/>
      <c r="H387" s="6"/>
      <c r="I387" s="2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2"/>
      <c r="B388" s="6"/>
      <c r="C388" s="6"/>
      <c r="D388" s="6"/>
      <c r="E388" s="6"/>
      <c r="F388" s="6"/>
      <c r="G388" s="6"/>
      <c r="H388" s="6"/>
      <c r="I388" s="2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2"/>
      <c r="B389" s="6"/>
      <c r="C389" s="6"/>
      <c r="D389" s="6"/>
      <c r="E389" s="6"/>
      <c r="F389" s="6"/>
      <c r="G389" s="6"/>
      <c r="H389" s="6"/>
      <c r="I389" s="2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2"/>
      <c r="B390" s="6"/>
      <c r="C390" s="6"/>
      <c r="D390" s="6"/>
      <c r="E390" s="6"/>
      <c r="F390" s="6"/>
      <c r="G390" s="6"/>
      <c r="H390" s="6"/>
      <c r="I390" s="2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2"/>
      <c r="B391" s="6"/>
      <c r="C391" s="6"/>
      <c r="D391" s="6"/>
      <c r="E391" s="6"/>
      <c r="F391" s="6"/>
      <c r="G391" s="6"/>
      <c r="H391" s="6"/>
      <c r="I391" s="2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2"/>
      <c r="B392" s="6"/>
      <c r="C392" s="6"/>
      <c r="D392" s="6"/>
      <c r="E392" s="6"/>
      <c r="F392" s="6"/>
      <c r="G392" s="6"/>
      <c r="H392" s="6"/>
      <c r="I392" s="2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2"/>
      <c r="B393" s="6"/>
      <c r="C393" s="6"/>
      <c r="D393" s="6"/>
      <c r="E393" s="6"/>
      <c r="F393" s="6"/>
      <c r="G393" s="6"/>
      <c r="H393" s="6"/>
      <c r="I393" s="2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2"/>
      <c r="B394" s="6"/>
      <c r="C394" s="6"/>
      <c r="D394" s="6"/>
      <c r="E394" s="6"/>
      <c r="F394" s="6"/>
      <c r="G394" s="6"/>
      <c r="H394" s="6"/>
      <c r="I394" s="2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2"/>
      <c r="B395" s="6"/>
      <c r="C395" s="6"/>
      <c r="D395" s="6"/>
      <c r="E395" s="6"/>
      <c r="F395" s="6"/>
      <c r="G395" s="6"/>
      <c r="H395" s="6"/>
      <c r="I395" s="2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2"/>
      <c r="B396" s="6"/>
      <c r="C396" s="6"/>
      <c r="D396" s="6"/>
      <c r="E396" s="6"/>
      <c r="F396" s="6"/>
      <c r="G396" s="6"/>
      <c r="H396" s="6"/>
      <c r="I396" s="2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2"/>
      <c r="B397" s="6"/>
      <c r="C397" s="6"/>
      <c r="D397" s="6"/>
      <c r="E397" s="6"/>
      <c r="F397" s="6"/>
      <c r="G397" s="6"/>
      <c r="H397" s="6"/>
      <c r="I397" s="2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2"/>
      <c r="B398" s="6"/>
      <c r="C398" s="6"/>
      <c r="D398" s="6"/>
      <c r="E398" s="6"/>
      <c r="F398" s="6"/>
      <c r="G398" s="6"/>
      <c r="H398" s="6"/>
      <c r="I398" s="2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2"/>
      <c r="B399" s="6"/>
      <c r="C399" s="6"/>
      <c r="D399" s="6"/>
      <c r="E399" s="6"/>
      <c r="F399" s="6"/>
      <c r="G399" s="6"/>
      <c r="H399" s="6"/>
      <c r="I399" s="2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2"/>
      <c r="B400" s="6"/>
      <c r="C400" s="6"/>
      <c r="D400" s="6"/>
      <c r="E400" s="6"/>
      <c r="F400" s="6"/>
      <c r="G400" s="6"/>
      <c r="H400" s="6"/>
      <c r="I400" s="2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2"/>
      <c r="B401" s="6"/>
      <c r="C401" s="6"/>
      <c r="D401" s="6"/>
      <c r="E401" s="6"/>
      <c r="F401" s="6"/>
      <c r="G401" s="6"/>
      <c r="H401" s="6"/>
      <c r="I401" s="2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2"/>
      <c r="B402" s="6"/>
      <c r="C402" s="6"/>
      <c r="D402" s="6"/>
      <c r="E402" s="6"/>
      <c r="F402" s="6"/>
      <c r="G402" s="6"/>
      <c r="H402" s="6"/>
      <c r="I402" s="2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2"/>
      <c r="B403" s="6"/>
      <c r="C403" s="6"/>
      <c r="D403" s="6"/>
      <c r="E403" s="6"/>
      <c r="F403" s="6"/>
      <c r="G403" s="6"/>
      <c r="H403" s="6"/>
      <c r="I403" s="2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2"/>
      <c r="B404" s="6"/>
      <c r="C404" s="6"/>
      <c r="D404" s="6"/>
      <c r="E404" s="6"/>
      <c r="F404" s="6"/>
      <c r="G404" s="6"/>
      <c r="H404" s="6"/>
      <c r="I404" s="2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2"/>
      <c r="B405" s="6"/>
      <c r="C405" s="6"/>
      <c r="D405" s="6"/>
      <c r="E405" s="6"/>
      <c r="F405" s="6"/>
      <c r="G405" s="6"/>
      <c r="H405" s="6"/>
      <c r="I405" s="2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2"/>
      <c r="B406" s="6"/>
      <c r="C406" s="6"/>
      <c r="D406" s="6"/>
      <c r="E406" s="6"/>
      <c r="F406" s="6"/>
      <c r="G406" s="6"/>
      <c r="H406" s="6"/>
      <c r="I406" s="2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2"/>
      <c r="B407" s="6"/>
      <c r="C407" s="6"/>
      <c r="D407" s="6"/>
      <c r="E407" s="6"/>
      <c r="F407" s="6"/>
      <c r="G407" s="6"/>
      <c r="H407" s="6"/>
      <c r="I407" s="2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2"/>
      <c r="B408" s="6"/>
      <c r="C408" s="6"/>
      <c r="D408" s="6"/>
      <c r="E408" s="6"/>
      <c r="F408" s="6"/>
      <c r="G408" s="6"/>
      <c r="H408" s="6"/>
      <c r="I408" s="2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2"/>
      <c r="B409" s="6"/>
      <c r="C409" s="6"/>
      <c r="D409" s="6"/>
      <c r="E409" s="6"/>
      <c r="F409" s="6"/>
      <c r="G409" s="6"/>
      <c r="H409" s="6"/>
      <c r="I409" s="2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2"/>
      <c r="B410" s="6"/>
      <c r="C410" s="6"/>
      <c r="D410" s="6"/>
      <c r="E410" s="6"/>
      <c r="F410" s="6"/>
      <c r="G410" s="6"/>
      <c r="H410" s="6"/>
      <c r="I410" s="2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2"/>
      <c r="B411" s="6"/>
      <c r="C411" s="6"/>
      <c r="D411" s="6"/>
      <c r="E411" s="6"/>
      <c r="F411" s="6"/>
      <c r="G411" s="6"/>
      <c r="H411" s="6"/>
      <c r="I411" s="2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2"/>
      <c r="B412" s="6"/>
      <c r="C412" s="6"/>
      <c r="D412" s="6"/>
      <c r="E412" s="6"/>
      <c r="F412" s="6"/>
      <c r="G412" s="6"/>
      <c r="H412" s="6"/>
      <c r="I412" s="2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2"/>
      <c r="B413" s="6"/>
      <c r="C413" s="6"/>
      <c r="D413" s="6"/>
      <c r="E413" s="6"/>
      <c r="F413" s="6"/>
      <c r="G413" s="6"/>
      <c r="H413" s="6"/>
      <c r="I413" s="2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2"/>
      <c r="B414" s="6"/>
      <c r="C414" s="6"/>
      <c r="D414" s="6"/>
      <c r="E414" s="6"/>
      <c r="F414" s="6"/>
      <c r="G414" s="6"/>
      <c r="H414" s="6"/>
      <c r="I414" s="2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2"/>
      <c r="B415" s="6"/>
      <c r="C415" s="6"/>
      <c r="D415" s="6"/>
      <c r="E415" s="6"/>
      <c r="F415" s="6"/>
      <c r="G415" s="6"/>
      <c r="H415" s="6"/>
      <c r="I415" s="2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2"/>
      <c r="B416" s="6"/>
      <c r="C416" s="6"/>
      <c r="D416" s="6"/>
      <c r="E416" s="6"/>
      <c r="F416" s="6"/>
      <c r="G416" s="6"/>
      <c r="H416" s="6"/>
      <c r="I416" s="2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2"/>
      <c r="B417" s="6"/>
      <c r="C417" s="6"/>
      <c r="D417" s="6"/>
      <c r="E417" s="6"/>
      <c r="F417" s="6"/>
      <c r="G417" s="6"/>
      <c r="H417" s="6"/>
      <c r="I417" s="2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2"/>
      <c r="B418" s="6"/>
      <c r="C418" s="6"/>
      <c r="D418" s="6"/>
      <c r="E418" s="6"/>
      <c r="F418" s="6"/>
      <c r="G418" s="6"/>
      <c r="H418" s="6"/>
      <c r="I418" s="2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2"/>
      <c r="B419" s="6"/>
      <c r="C419" s="6"/>
      <c r="D419" s="6"/>
      <c r="E419" s="6"/>
      <c r="F419" s="6"/>
      <c r="G419" s="6"/>
      <c r="H419" s="6"/>
      <c r="I419" s="2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2"/>
      <c r="B420" s="6"/>
      <c r="C420" s="6"/>
      <c r="D420" s="6"/>
      <c r="E420" s="6"/>
      <c r="F420" s="6"/>
      <c r="G420" s="6"/>
      <c r="H420" s="6"/>
      <c r="I420" s="2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2"/>
      <c r="B421" s="6"/>
      <c r="C421" s="6"/>
      <c r="D421" s="6"/>
      <c r="E421" s="6"/>
      <c r="F421" s="6"/>
      <c r="G421" s="6"/>
      <c r="H421" s="6"/>
      <c r="I421" s="2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2"/>
      <c r="B422" s="6"/>
      <c r="C422" s="6"/>
      <c r="D422" s="6"/>
      <c r="E422" s="6"/>
      <c r="F422" s="6"/>
      <c r="G422" s="6"/>
      <c r="H422" s="6"/>
      <c r="I422" s="2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2"/>
      <c r="B423" s="6"/>
      <c r="C423" s="6"/>
      <c r="D423" s="6"/>
      <c r="E423" s="6"/>
      <c r="F423" s="6"/>
      <c r="G423" s="6"/>
      <c r="H423" s="6"/>
      <c r="I423" s="2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2"/>
      <c r="B424" s="6"/>
      <c r="C424" s="6"/>
      <c r="D424" s="6"/>
      <c r="E424" s="6"/>
      <c r="F424" s="6"/>
      <c r="G424" s="6"/>
      <c r="H424" s="6"/>
      <c r="I424" s="2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2"/>
      <c r="B425" s="6"/>
      <c r="C425" s="6"/>
      <c r="D425" s="6"/>
      <c r="E425" s="6"/>
      <c r="F425" s="6"/>
      <c r="G425" s="6"/>
      <c r="H425" s="6"/>
      <c r="I425" s="2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2"/>
      <c r="B426" s="6"/>
      <c r="C426" s="6"/>
      <c r="D426" s="6"/>
      <c r="E426" s="6"/>
      <c r="F426" s="6"/>
      <c r="G426" s="6"/>
      <c r="H426" s="6"/>
      <c r="I426" s="2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2"/>
      <c r="B427" s="6"/>
      <c r="C427" s="6"/>
      <c r="D427" s="6"/>
      <c r="E427" s="6"/>
      <c r="F427" s="6"/>
      <c r="G427" s="6"/>
      <c r="H427" s="6"/>
      <c r="I427" s="2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2"/>
      <c r="B428" s="6"/>
      <c r="C428" s="6"/>
      <c r="D428" s="6"/>
      <c r="E428" s="6"/>
      <c r="F428" s="6"/>
      <c r="G428" s="6"/>
      <c r="H428" s="6"/>
      <c r="I428" s="2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2"/>
      <c r="B429" s="6"/>
      <c r="C429" s="6"/>
      <c r="D429" s="6"/>
      <c r="E429" s="6"/>
      <c r="F429" s="6"/>
      <c r="G429" s="6"/>
      <c r="H429" s="6"/>
      <c r="I429" s="2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2"/>
      <c r="B430" s="6"/>
      <c r="C430" s="6"/>
      <c r="D430" s="6"/>
      <c r="E430" s="6"/>
      <c r="F430" s="6"/>
      <c r="G430" s="6"/>
      <c r="H430" s="6"/>
      <c r="I430" s="2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2"/>
      <c r="B431" s="6"/>
      <c r="C431" s="6"/>
      <c r="D431" s="6"/>
      <c r="E431" s="6"/>
      <c r="F431" s="6"/>
      <c r="G431" s="6"/>
      <c r="H431" s="6"/>
      <c r="I431" s="2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2"/>
      <c r="B432" s="6"/>
      <c r="C432" s="6"/>
      <c r="D432" s="6"/>
      <c r="E432" s="6"/>
      <c r="F432" s="6"/>
      <c r="G432" s="6"/>
      <c r="H432" s="6"/>
      <c r="I432" s="2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2"/>
      <c r="B433" s="6"/>
      <c r="C433" s="6"/>
      <c r="D433" s="6"/>
      <c r="E433" s="6"/>
      <c r="F433" s="6"/>
      <c r="G433" s="6"/>
      <c r="H433" s="6"/>
      <c r="I433" s="2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2"/>
      <c r="B434" s="6"/>
      <c r="C434" s="6"/>
      <c r="D434" s="6"/>
      <c r="E434" s="6"/>
      <c r="F434" s="6"/>
      <c r="G434" s="6"/>
      <c r="H434" s="6"/>
      <c r="I434" s="2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2"/>
      <c r="B435" s="6"/>
      <c r="C435" s="6"/>
      <c r="D435" s="6"/>
      <c r="E435" s="6"/>
      <c r="F435" s="6"/>
      <c r="G435" s="6"/>
      <c r="H435" s="6"/>
      <c r="I435" s="2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2"/>
      <c r="B436" s="6"/>
      <c r="C436" s="6"/>
      <c r="D436" s="6"/>
      <c r="E436" s="6"/>
      <c r="F436" s="6"/>
      <c r="G436" s="6"/>
      <c r="H436" s="6"/>
      <c r="I436" s="2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2"/>
      <c r="B437" s="6"/>
      <c r="C437" s="6"/>
      <c r="D437" s="6"/>
      <c r="E437" s="6"/>
      <c r="F437" s="6"/>
      <c r="G437" s="6"/>
      <c r="H437" s="6"/>
      <c r="I437" s="2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2"/>
      <c r="B438" s="6"/>
      <c r="C438" s="6"/>
      <c r="D438" s="6"/>
      <c r="E438" s="6"/>
      <c r="F438" s="6"/>
      <c r="G438" s="6"/>
      <c r="H438" s="6"/>
      <c r="I438" s="2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2"/>
      <c r="B439" s="6"/>
      <c r="C439" s="6"/>
      <c r="D439" s="6"/>
      <c r="E439" s="6"/>
      <c r="F439" s="6"/>
      <c r="G439" s="6"/>
      <c r="H439" s="6"/>
      <c r="I439" s="2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2"/>
      <c r="B440" s="6"/>
      <c r="C440" s="6"/>
      <c r="D440" s="6"/>
      <c r="E440" s="6"/>
      <c r="F440" s="6"/>
      <c r="G440" s="6"/>
      <c r="H440" s="6"/>
      <c r="I440" s="2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2"/>
      <c r="B441" s="6"/>
      <c r="C441" s="6"/>
      <c r="D441" s="6"/>
      <c r="E441" s="6"/>
      <c r="F441" s="6"/>
      <c r="G441" s="6"/>
      <c r="H441" s="6"/>
      <c r="I441" s="2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2"/>
      <c r="B442" s="6"/>
      <c r="C442" s="6"/>
      <c r="D442" s="6"/>
      <c r="E442" s="6"/>
      <c r="F442" s="6"/>
      <c r="G442" s="6"/>
      <c r="H442" s="6"/>
      <c r="I442" s="2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2"/>
      <c r="B443" s="6"/>
      <c r="C443" s="6"/>
      <c r="D443" s="6"/>
      <c r="E443" s="6"/>
      <c r="F443" s="6"/>
      <c r="G443" s="6"/>
      <c r="H443" s="6"/>
      <c r="I443" s="2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2"/>
      <c r="B444" s="6"/>
      <c r="C444" s="6"/>
      <c r="D444" s="6"/>
      <c r="E444" s="6"/>
      <c r="F444" s="6"/>
      <c r="G444" s="6"/>
      <c r="H444" s="6"/>
      <c r="I444" s="2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2"/>
      <c r="B445" s="6"/>
      <c r="C445" s="6"/>
      <c r="D445" s="6"/>
      <c r="E445" s="6"/>
      <c r="F445" s="6"/>
      <c r="G445" s="6"/>
      <c r="H445" s="6"/>
      <c r="I445" s="2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2"/>
      <c r="B446" s="6"/>
      <c r="C446" s="6"/>
      <c r="D446" s="6"/>
      <c r="E446" s="6"/>
      <c r="F446" s="6"/>
      <c r="G446" s="6"/>
      <c r="H446" s="6"/>
      <c r="I446" s="2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2"/>
      <c r="B447" s="6"/>
      <c r="C447" s="6"/>
      <c r="D447" s="6"/>
      <c r="E447" s="6"/>
      <c r="F447" s="6"/>
      <c r="G447" s="6"/>
      <c r="H447" s="6"/>
      <c r="I447" s="2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2"/>
      <c r="B448" s="6"/>
      <c r="C448" s="6"/>
      <c r="D448" s="6"/>
      <c r="E448" s="6"/>
      <c r="F448" s="6"/>
      <c r="G448" s="6"/>
      <c r="H448" s="6"/>
      <c r="I448" s="2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2"/>
      <c r="B449" s="6"/>
      <c r="C449" s="6"/>
      <c r="D449" s="6"/>
      <c r="E449" s="6"/>
      <c r="F449" s="6"/>
      <c r="G449" s="6"/>
      <c r="H449" s="6"/>
      <c r="I449" s="2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2"/>
      <c r="B450" s="6"/>
      <c r="C450" s="6"/>
      <c r="D450" s="6"/>
      <c r="E450" s="6"/>
      <c r="F450" s="6"/>
      <c r="G450" s="6"/>
      <c r="H450" s="6"/>
      <c r="I450" s="2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2"/>
      <c r="B451" s="6"/>
      <c r="C451" s="6"/>
      <c r="D451" s="6"/>
      <c r="E451" s="6"/>
      <c r="F451" s="6"/>
      <c r="G451" s="6"/>
      <c r="H451" s="6"/>
      <c r="I451" s="2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2"/>
      <c r="B452" s="6"/>
      <c r="C452" s="6"/>
      <c r="D452" s="6"/>
      <c r="E452" s="6"/>
      <c r="F452" s="6"/>
      <c r="G452" s="6"/>
      <c r="H452" s="6"/>
      <c r="I452" s="2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2"/>
      <c r="B453" s="6"/>
      <c r="C453" s="6"/>
      <c r="D453" s="6"/>
      <c r="E453" s="6"/>
      <c r="F453" s="6"/>
      <c r="G453" s="6"/>
      <c r="H453" s="6"/>
      <c r="I453" s="2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2"/>
      <c r="B454" s="6"/>
      <c r="C454" s="6"/>
      <c r="D454" s="6"/>
      <c r="E454" s="6"/>
      <c r="F454" s="6"/>
      <c r="G454" s="6"/>
      <c r="H454" s="6"/>
      <c r="I454" s="2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2"/>
      <c r="B455" s="6"/>
      <c r="C455" s="6"/>
      <c r="D455" s="6"/>
      <c r="E455" s="6"/>
      <c r="F455" s="6"/>
      <c r="G455" s="6"/>
      <c r="H455" s="6"/>
      <c r="I455" s="2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2"/>
      <c r="B456" s="6"/>
      <c r="C456" s="6"/>
      <c r="D456" s="6"/>
      <c r="E456" s="6"/>
      <c r="F456" s="6"/>
      <c r="G456" s="6"/>
      <c r="H456" s="6"/>
      <c r="I456" s="2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2"/>
      <c r="B457" s="6"/>
      <c r="C457" s="6"/>
      <c r="D457" s="6"/>
      <c r="E457" s="6"/>
      <c r="F457" s="6"/>
      <c r="G457" s="6"/>
      <c r="H457" s="6"/>
      <c r="I457" s="2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2"/>
      <c r="B458" s="6"/>
      <c r="C458" s="6"/>
      <c r="D458" s="6"/>
      <c r="E458" s="6"/>
      <c r="F458" s="6"/>
      <c r="G458" s="6"/>
      <c r="H458" s="6"/>
      <c r="I458" s="2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2"/>
      <c r="B459" s="6"/>
      <c r="C459" s="6"/>
      <c r="D459" s="6"/>
      <c r="E459" s="6"/>
      <c r="F459" s="6"/>
      <c r="G459" s="6"/>
      <c r="H459" s="6"/>
      <c r="I459" s="2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2"/>
      <c r="B460" s="6"/>
      <c r="C460" s="6"/>
      <c r="D460" s="6"/>
      <c r="E460" s="6"/>
      <c r="F460" s="6"/>
      <c r="G460" s="6"/>
      <c r="H460" s="6"/>
      <c r="I460" s="2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2"/>
      <c r="B461" s="6"/>
      <c r="C461" s="6"/>
      <c r="D461" s="6"/>
      <c r="E461" s="6"/>
      <c r="F461" s="6"/>
      <c r="G461" s="6"/>
      <c r="H461" s="6"/>
      <c r="I461" s="2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2"/>
      <c r="B462" s="6"/>
      <c r="C462" s="6"/>
      <c r="D462" s="6"/>
      <c r="E462" s="6"/>
      <c r="F462" s="6"/>
      <c r="G462" s="6"/>
      <c r="H462" s="6"/>
      <c r="I462" s="2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2"/>
      <c r="B463" s="6"/>
      <c r="C463" s="6"/>
      <c r="D463" s="6"/>
      <c r="E463" s="6"/>
      <c r="F463" s="6"/>
      <c r="G463" s="6"/>
      <c r="H463" s="6"/>
      <c r="I463" s="2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2"/>
      <c r="B464" s="6"/>
      <c r="C464" s="6"/>
      <c r="D464" s="6"/>
      <c r="E464" s="6"/>
      <c r="F464" s="6"/>
      <c r="G464" s="6"/>
      <c r="H464" s="6"/>
      <c r="I464" s="2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2"/>
      <c r="B465" s="6"/>
      <c r="C465" s="6"/>
      <c r="D465" s="6"/>
      <c r="E465" s="6"/>
      <c r="F465" s="6"/>
      <c r="G465" s="6"/>
      <c r="H465" s="6"/>
      <c r="I465" s="2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2"/>
      <c r="B466" s="6"/>
      <c r="C466" s="6"/>
      <c r="D466" s="6"/>
      <c r="E466" s="6"/>
      <c r="F466" s="6"/>
      <c r="G466" s="6"/>
      <c r="H466" s="6"/>
      <c r="I466" s="2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2"/>
      <c r="B467" s="6"/>
      <c r="C467" s="6"/>
      <c r="D467" s="6"/>
      <c r="E467" s="6"/>
      <c r="F467" s="6"/>
      <c r="G467" s="6"/>
      <c r="H467" s="6"/>
      <c r="I467" s="2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2"/>
      <c r="B468" s="6"/>
      <c r="C468" s="6"/>
      <c r="D468" s="6"/>
      <c r="E468" s="6"/>
      <c r="F468" s="6"/>
      <c r="G468" s="6"/>
      <c r="H468" s="6"/>
      <c r="I468" s="2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2"/>
      <c r="B469" s="6"/>
      <c r="C469" s="6"/>
      <c r="D469" s="6"/>
      <c r="E469" s="6"/>
      <c r="F469" s="6"/>
      <c r="G469" s="6"/>
      <c r="H469" s="6"/>
      <c r="I469" s="2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2"/>
      <c r="B470" s="6"/>
      <c r="C470" s="6"/>
      <c r="D470" s="6"/>
      <c r="E470" s="6"/>
      <c r="F470" s="6"/>
      <c r="G470" s="6"/>
      <c r="H470" s="6"/>
      <c r="I470" s="2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2"/>
      <c r="B471" s="6"/>
      <c r="C471" s="6"/>
      <c r="D471" s="6"/>
      <c r="E471" s="6"/>
      <c r="F471" s="6"/>
      <c r="G471" s="6"/>
      <c r="H471" s="6"/>
      <c r="I471" s="2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2"/>
      <c r="B472" s="6"/>
      <c r="C472" s="6"/>
      <c r="D472" s="6"/>
      <c r="E472" s="6"/>
      <c r="F472" s="6"/>
      <c r="G472" s="6"/>
      <c r="H472" s="6"/>
      <c r="I472" s="2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2"/>
      <c r="B473" s="6"/>
      <c r="C473" s="6"/>
      <c r="D473" s="6"/>
      <c r="E473" s="6"/>
      <c r="F473" s="6"/>
      <c r="G473" s="6"/>
      <c r="H473" s="6"/>
      <c r="I473" s="2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2"/>
      <c r="B474" s="6"/>
      <c r="C474" s="6"/>
      <c r="D474" s="6"/>
      <c r="E474" s="6"/>
      <c r="F474" s="6"/>
      <c r="G474" s="6"/>
      <c r="H474" s="6"/>
      <c r="I474" s="2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2"/>
      <c r="B475" s="6"/>
      <c r="C475" s="6"/>
      <c r="D475" s="6"/>
      <c r="E475" s="6"/>
      <c r="F475" s="6"/>
      <c r="G475" s="6"/>
      <c r="H475" s="6"/>
      <c r="I475" s="2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2"/>
      <c r="B476" s="6"/>
      <c r="C476" s="6"/>
      <c r="D476" s="6"/>
      <c r="E476" s="6"/>
      <c r="F476" s="6"/>
      <c r="G476" s="6"/>
      <c r="H476" s="6"/>
      <c r="I476" s="2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2"/>
      <c r="B477" s="6"/>
      <c r="C477" s="6"/>
      <c r="D477" s="6"/>
      <c r="E477" s="6"/>
      <c r="F477" s="6"/>
      <c r="G477" s="6"/>
      <c r="H477" s="6"/>
      <c r="I477" s="2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2"/>
      <c r="B478" s="6"/>
      <c r="C478" s="6"/>
      <c r="D478" s="6"/>
      <c r="E478" s="6"/>
      <c r="F478" s="6"/>
      <c r="G478" s="6"/>
      <c r="H478" s="6"/>
      <c r="I478" s="2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2"/>
      <c r="B479" s="6"/>
      <c r="C479" s="6"/>
      <c r="D479" s="6"/>
      <c r="E479" s="6"/>
      <c r="F479" s="6"/>
      <c r="G479" s="6"/>
      <c r="H479" s="6"/>
      <c r="I479" s="2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2"/>
      <c r="B480" s="6"/>
      <c r="C480" s="6"/>
      <c r="D480" s="6"/>
      <c r="E480" s="6"/>
      <c r="F480" s="6"/>
      <c r="G480" s="6"/>
      <c r="H480" s="6"/>
      <c r="I480" s="2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2"/>
      <c r="B481" s="6"/>
      <c r="C481" s="6"/>
      <c r="D481" s="6"/>
      <c r="E481" s="6"/>
      <c r="F481" s="6"/>
      <c r="G481" s="6"/>
      <c r="H481" s="6"/>
      <c r="I481" s="2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2"/>
      <c r="B482" s="6"/>
      <c r="C482" s="6"/>
      <c r="D482" s="6"/>
      <c r="E482" s="6"/>
      <c r="F482" s="6"/>
      <c r="G482" s="6"/>
      <c r="H482" s="6"/>
      <c r="I482" s="2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2"/>
      <c r="B483" s="6"/>
      <c r="C483" s="6"/>
      <c r="D483" s="6"/>
      <c r="E483" s="6"/>
      <c r="F483" s="6"/>
      <c r="G483" s="6"/>
      <c r="H483" s="6"/>
      <c r="I483" s="2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2"/>
      <c r="B484" s="6"/>
      <c r="C484" s="6"/>
      <c r="D484" s="6"/>
      <c r="E484" s="6"/>
      <c r="F484" s="6"/>
      <c r="G484" s="6"/>
      <c r="H484" s="6"/>
      <c r="I484" s="2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2"/>
      <c r="B485" s="6"/>
      <c r="C485" s="6"/>
      <c r="D485" s="6"/>
      <c r="E485" s="6"/>
      <c r="F485" s="6"/>
      <c r="G485" s="6"/>
      <c r="H485" s="6"/>
      <c r="I485" s="2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2"/>
      <c r="B486" s="6"/>
      <c r="C486" s="6"/>
      <c r="D486" s="6"/>
      <c r="E486" s="6"/>
      <c r="F486" s="6"/>
      <c r="G486" s="6"/>
      <c r="H486" s="6"/>
      <c r="I486" s="2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2"/>
      <c r="B487" s="6"/>
      <c r="C487" s="6"/>
      <c r="D487" s="6"/>
      <c r="E487" s="6"/>
      <c r="F487" s="6"/>
      <c r="G487" s="6"/>
      <c r="H487" s="6"/>
      <c r="I487" s="2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2"/>
      <c r="B488" s="6"/>
      <c r="C488" s="6"/>
      <c r="D488" s="6"/>
      <c r="E488" s="6"/>
      <c r="F488" s="6"/>
      <c r="G488" s="6"/>
      <c r="H488" s="6"/>
      <c r="I488" s="2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2"/>
      <c r="B489" s="6"/>
      <c r="C489" s="6"/>
      <c r="D489" s="6"/>
      <c r="E489" s="6"/>
      <c r="F489" s="6"/>
      <c r="G489" s="6"/>
      <c r="H489" s="6"/>
      <c r="I489" s="2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2"/>
      <c r="B490" s="6"/>
      <c r="C490" s="6"/>
      <c r="D490" s="6"/>
      <c r="E490" s="6"/>
      <c r="F490" s="6"/>
      <c r="G490" s="6"/>
      <c r="H490" s="6"/>
      <c r="I490" s="2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2"/>
      <c r="B491" s="6"/>
      <c r="C491" s="6"/>
      <c r="D491" s="6"/>
      <c r="E491" s="6"/>
      <c r="F491" s="6"/>
      <c r="G491" s="6"/>
      <c r="H491" s="6"/>
      <c r="I491" s="2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2"/>
      <c r="B492" s="6"/>
      <c r="C492" s="6"/>
      <c r="D492" s="6"/>
      <c r="E492" s="6"/>
      <c r="F492" s="6"/>
      <c r="G492" s="6"/>
      <c r="H492" s="6"/>
      <c r="I492" s="2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2"/>
      <c r="B493" s="6"/>
      <c r="C493" s="6"/>
      <c r="D493" s="6"/>
      <c r="E493" s="6"/>
      <c r="F493" s="6"/>
      <c r="G493" s="6"/>
      <c r="H493" s="6"/>
      <c r="I493" s="2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2"/>
      <c r="B494" s="6"/>
      <c r="C494" s="6"/>
      <c r="D494" s="6"/>
      <c r="E494" s="6"/>
      <c r="F494" s="6"/>
      <c r="G494" s="6"/>
      <c r="H494" s="6"/>
      <c r="I494" s="2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2"/>
      <c r="B495" s="6"/>
      <c r="C495" s="6"/>
      <c r="D495" s="6"/>
      <c r="E495" s="6"/>
      <c r="F495" s="6"/>
      <c r="G495" s="6"/>
      <c r="H495" s="6"/>
      <c r="I495" s="2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2"/>
      <c r="B496" s="6"/>
      <c r="C496" s="6"/>
      <c r="D496" s="6"/>
      <c r="E496" s="6"/>
      <c r="F496" s="6"/>
      <c r="G496" s="6"/>
      <c r="H496" s="6"/>
      <c r="I496" s="2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2"/>
      <c r="B497" s="6"/>
      <c r="C497" s="6"/>
      <c r="D497" s="6"/>
      <c r="E497" s="6"/>
      <c r="F497" s="6"/>
      <c r="G497" s="6"/>
      <c r="H497" s="6"/>
      <c r="I497" s="2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2"/>
      <c r="B498" s="6"/>
      <c r="C498" s="6"/>
      <c r="D498" s="6"/>
      <c r="E498" s="6"/>
      <c r="F498" s="6"/>
      <c r="G498" s="6"/>
      <c r="H498" s="6"/>
      <c r="I498" s="2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2"/>
      <c r="B499" s="6"/>
      <c r="C499" s="6"/>
      <c r="D499" s="6"/>
      <c r="E499" s="6"/>
      <c r="F499" s="6"/>
      <c r="G499" s="6"/>
      <c r="H499" s="6"/>
      <c r="I499" s="2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2"/>
      <c r="B500" s="6"/>
      <c r="C500" s="6"/>
      <c r="D500" s="6"/>
      <c r="E500" s="6"/>
      <c r="F500" s="6"/>
      <c r="G500" s="6"/>
      <c r="H500" s="6"/>
      <c r="I500" s="2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2"/>
      <c r="B501" s="6"/>
      <c r="C501" s="6"/>
      <c r="D501" s="6"/>
      <c r="E501" s="6"/>
      <c r="F501" s="6"/>
      <c r="G501" s="6"/>
      <c r="H501" s="6"/>
      <c r="I501" s="2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2"/>
      <c r="B502" s="6"/>
      <c r="C502" s="6"/>
      <c r="D502" s="6"/>
      <c r="E502" s="6"/>
      <c r="F502" s="6"/>
      <c r="G502" s="6"/>
      <c r="H502" s="6"/>
      <c r="I502" s="2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2"/>
      <c r="B503" s="6"/>
      <c r="C503" s="6"/>
      <c r="D503" s="6"/>
      <c r="E503" s="6"/>
      <c r="F503" s="6"/>
      <c r="G503" s="6"/>
      <c r="H503" s="6"/>
      <c r="I503" s="2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2"/>
      <c r="B504" s="6"/>
      <c r="C504" s="6"/>
      <c r="D504" s="6"/>
      <c r="E504" s="6"/>
      <c r="F504" s="6"/>
      <c r="G504" s="6"/>
      <c r="H504" s="6"/>
      <c r="I504" s="2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2"/>
      <c r="B505" s="6"/>
      <c r="C505" s="6"/>
      <c r="D505" s="6"/>
      <c r="E505" s="6"/>
      <c r="F505" s="6"/>
      <c r="G505" s="6"/>
      <c r="H505" s="6"/>
      <c r="I505" s="2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2"/>
      <c r="B506" s="6"/>
      <c r="C506" s="6"/>
      <c r="D506" s="6"/>
      <c r="E506" s="6"/>
      <c r="F506" s="6"/>
      <c r="G506" s="6"/>
      <c r="H506" s="6"/>
      <c r="I506" s="2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2"/>
      <c r="B507" s="6"/>
      <c r="C507" s="6"/>
      <c r="D507" s="6"/>
      <c r="E507" s="6"/>
      <c r="F507" s="6"/>
      <c r="G507" s="6"/>
      <c r="H507" s="6"/>
      <c r="I507" s="2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2"/>
      <c r="B508" s="6"/>
      <c r="C508" s="6"/>
      <c r="D508" s="6"/>
      <c r="E508" s="6"/>
      <c r="F508" s="6"/>
      <c r="G508" s="6"/>
      <c r="H508" s="6"/>
      <c r="I508" s="2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2"/>
      <c r="B509" s="6"/>
      <c r="C509" s="6"/>
      <c r="D509" s="6"/>
      <c r="E509" s="6"/>
      <c r="F509" s="6"/>
      <c r="G509" s="6"/>
      <c r="H509" s="6"/>
      <c r="I509" s="2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2"/>
      <c r="B510" s="6"/>
      <c r="C510" s="6"/>
      <c r="D510" s="6"/>
      <c r="E510" s="6"/>
      <c r="F510" s="6"/>
      <c r="G510" s="6"/>
      <c r="H510" s="6"/>
      <c r="I510" s="2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2"/>
      <c r="B511" s="6"/>
      <c r="C511" s="6"/>
      <c r="D511" s="6"/>
      <c r="E511" s="6"/>
      <c r="F511" s="6"/>
      <c r="G511" s="6"/>
      <c r="H511" s="6"/>
      <c r="I511" s="2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2"/>
      <c r="B512" s="6"/>
      <c r="C512" s="6"/>
      <c r="D512" s="6"/>
      <c r="E512" s="6"/>
      <c r="F512" s="6"/>
      <c r="G512" s="6"/>
      <c r="H512" s="6"/>
      <c r="I512" s="2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2"/>
      <c r="B513" s="6"/>
      <c r="C513" s="6"/>
      <c r="D513" s="6"/>
      <c r="E513" s="6"/>
      <c r="F513" s="6"/>
      <c r="G513" s="6"/>
      <c r="H513" s="6"/>
      <c r="I513" s="2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2"/>
      <c r="B514" s="6"/>
      <c r="C514" s="6"/>
      <c r="D514" s="6"/>
      <c r="E514" s="6"/>
      <c r="F514" s="6"/>
      <c r="G514" s="6"/>
      <c r="H514" s="6"/>
      <c r="I514" s="2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2"/>
      <c r="B515" s="6"/>
      <c r="C515" s="6"/>
      <c r="D515" s="6"/>
      <c r="E515" s="6"/>
      <c r="F515" s="6"/>
      <c r="G515" s="6"/>
      <c r="H515" s="6"/>
      <c r="I515" s="2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2"/>
      <c r="B516" s="6"/>
      <c r="C516" s="6"/>
      <c r="D516" s="6"/>
      <c r="E516" s="6"/>
      <c r="F516" s="6"/>
      <c r="G516" s="6"/>
      <c r="H516" s="6"/>
      <c r="I516" s="2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2"/>
      <c r="B517" s="6"/>
      <c r="C517" s="6"/>
      <c r="D517" s="6"/>
      <c r="E517" s="6"/>
      <c r="F517" s="6"/>
      <c r="G517" s="6"/>
      <c r="H517" s="6"/>
      <c r="I517" s="2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2"/>
      <c r="B518" s="6"/>
      <c r="C518" s="6"/>
      <c r="D518" s="6"/>
      <c r="E518" s="6"/>
      <c r="F518" s="6"/>
      <c r="G518" s="6"/>
      <c r="H518" s="6"/>
      <c r="I518" s="2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2"/>
      <c r="B519" s="6"/>
      <c r="C519" s="6"/>
      <c r="D519" s="6"/>
      <c r="E519" s="6"/>
      <c r="F519" s="6"/>
      <c r="G519" s="6"/>
      <c r="H519" s="6"/>
      <c r="I519" s="2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2"/>
      <c r="B520" s="6"/>
      <c r="C520" s="6"/>
      <c r="D520" s="6"/>
      <c r="E520" s="6"/>
      <c r="F520" s="6"/>
      <c r="G520" s="6"/>
      <c r="H520" s="6"/>
      <c r="I520" s="2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2"/>
      <c r="B521" s="6"/>
      <c r="C521" s="6"/>
      <c r="D521" s="6"/>
      <c r="E521" s="6"/>
      <c r="F521" s="6"/>
      <c r="G521" s="6"/>
      <c r="H521" s="6"/>
      <c r="I521" s="2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2"/>
      <c r="B522" s="6"/>
      <c r="C522" s="6"/>
      <c r="D522" s="6"/>
      <c r="E522" s="6"/>
      <c r="F522" s="6"/>
      <c r="G522" s="6"/>
      <c r="H522" s="6"/>
      <c r="I522" s="2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2"/>
      <c r="B523" s="6"/>
      <c r="C523" s="6"/>
      <c r="D523" s="6"/>
      <c r="E523" s="6"/>
      <c r="F523" s="6"/>
      <c r="G523" s="6"/>
      <c r="H523" s="6"/>
      <c r="I523" s="2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2"/>
      <c r="B524" s="6"/>
      <c r="C524" s="6"/>
      <c r="D524" s="6"/>
      <c r="E524" s="6"/>
      <c r="F524" s="6"/>
      <c r="G524" s="6"/>
      <c r="H524" s="6"/>
      <c r="I524" s="2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2"/>
      <c r="B525" s="6"/>
      <c r="C525" s="6"/>
      <c r="D525" s="6"/>
      <c r="E525" s="6"/>
      <c r="F525" s="6"/>
      <c r="G525" s="6"/>
      <c r="H525" s="6"/>
      <c r="I525" s="2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2"/>
      <c r="B526" s="6"/>
      <c r="C526" s="6"/>
      <c r="D526" s="6"/>
      <c r="E526" s="6"/>
      <c r="F526" s="6"/>
      <c r="G526" s="6"/>
      <c r="H526" s="6"/>
      <c r="I526" s="2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2"/>
      <c r="B527" s="6"/>
      <c r="C527" s="6"/>
      <c r="D527" s="6"/>
      <c r="E527" s="6"/>
      <c r="F527" s="6"/>
      <c r="G527" s="6"/>
      <c r="H527" s="6"/>
      <c r="I527" s="2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2"/>
      <c r="B528" s="6"/>
      <c r="C528" s="6"/>
      <c r="D528" s="6"/>
      <c r="E528" s="6"/>
      <c r="F528" s="6"/>
      <c r="G528" s="6"/>
      <c r="H528" s="6"/>
      <c r="I528" s="2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2"/>
      <c r="B529" s="6"/>
      <c r="C529" s="6"/>
      <c r="D529" s="6"/>
      <c r="E529" s="6"/>
      <c r="F529" s="6"/>
      <c r="G529" s="6"/>
      <c r="H529" s="6"/>
      <c r="I529" s="2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2"/>
      <c r="B530" s="6"/>
      <c r="C530" s="6"/>
      <c r="D530" s="6"/>
      <c r="E530" s="6"/>
      <c r="F530" s="6"/>
      <c r="G530" s="6"/>
      <c r="H530" s="6"/>
      <c r="I530" s="2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2"/>
      <c r="B531" s="6"/>
      <c r="C531" s="6"/>
      <c r="D531" s="6"/>
      <c r="E531" s="6"/>
      <c r="F531" s="6"/>
      <c r="G531" s="6"/>
      <c r="H531" s="6"/>
      <c r="I531" s="2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2"/>
      <c r="B532" s="6"/>
      <c r="C532" s="6"/>
      <c r="D532" s="6"/>
      <c r="E532" s="6"/>
      <c r="F532" s="6"/>
      <c r="G532" s="6"/>
      <c r="H532" s="6"/>
      <c r="I532" s="2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2"/>
      <c r="B533" s="6"/>
      <c r="C533" s="6"/>
      <c r="D533" s="6"/>
      <c r="E533" s="6"/>
      <c r="F533" s="6"/>
      <c r="G533" s="6"/>
      <c r="H533" s="6"/>
      <c r="I533" s="2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2"/>
      <c r="B534" s="6"/>
      <c r="C534" s="6"/>
      <c r="D534" s="6"/>
      <c r="E534" s="6"/>
      <c r="F534" s="6"/>
      <c r="G534" s="6"/>
      <c r="H534" s="6"/>
      <c r="I534" s="2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2"/>
      <c r="B535" s="6"/>
      <c r="C535" s="6"/>
      <c r="D535" s="6"/>
      <c r="E535" s="6"/>
      <c r="F535" s="6"/>
      <c r="G535" s="6"/>
      <c r="H535" s="6"/>
      <c r="I535" s="2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2"/>
      <c r="B536" s="6"/>
      <c r="C536" s="6"/>
      <c r="D536" s="6"/>
      <c r="E536" s="6"/>
      <c r="F536" s="6"/>
      <c r="G536" s="6"/>
      <c r="H536" s="6"/>
      <c r="I536" s="2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2"/>
      <c r="B537" s="6"/>
      <c r="C537" s="6"/>
      <c r="D537" s="6"/>
      <c r="E537" s="6"/>
      <c r="F537" s="6"/>
      <c r="G537" s="6"/>
      <c r="H537" s="6"/>
      <c r="I537" s="2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2"/>
      <c r="B538" s="6"/>
      <c r="C538" s="6"/>
      <c r="D538" s="6"/>
      <c r="E538" s="6"/>
      <c r="F538" s="6"/>
      <c r="G538" s="6"/>
      <c r="H538" s="6"/>
      <c r="I538" s="2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2"/>
      <c r="B539" s="6"/>
      <c r="C539" s="6"/>
      <c r="D539" s="6"/>
      <c r="E539" s="6"/>
      <c r="F539" s="6"/>
      <c r="G539" s="6"/>
      <c r="H539" s="6"/>
      <c r="I539" s="2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2"/>
      <c r="B540" s="6"/>
      <c r="C540" s="6"/>
      <c r="D540" s="6"/>
      <c r="E540" s="6"/>
      <c r="F540" s="6"/>
      <c r="G540" s="6"/>
      <c r="H540" s="6"/>
      <c r="I540" s="2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2"/>
      <c r="B541" s="6"/>
      <c r="C541" s="6"/>
      <c r="D541" s="6"/>
      <c r="E541" s="6"/>
      <c r="F541" s="6"/>
      <c r="G541" s="6"/>
      <c r="H541" s="6"/>
      <c r="I541" s="2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2"/>
      <c r="B542" s="6"/>
      <c r="C542" s="6"/>
      <c r="D542" s="6"/>
      <c r="E542" s="6"/>
      <c r="F542" s="6"/>
      <c r="G542" s="6"/>
      <c r="H542" s="6"/>
      <c r="I542" s="2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2"/>
      <c r="B543" s="6"/>
      <c r="C543" s="6"/>
      <c r="D543" s="6"/>
      <c r="E543" s="6"/>
      <c r="F543" s="6"/>
      <c r="G543" s="6"/>
      <c r="H543" s="6"/>
      <c r="I543" s="2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2"/>
      <c r="B544" s="6"/>
      <c r="C544" s="6"/>
      <c r="D544" s="6"/>
      <c r="E544" s="6"/>
      <c r="F544" s="6"/>
      <c r="G544" s="6"/>
      <c r="H544" s="6"/>
      <c r="I544" s="2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2"/>
      <c r="B545" s="6"/>
      <c r="C545" s="6"/>
      <c r="D545" s="6"/>
      <c r="E545" s="6"/>
      <c r="F545" s="6"/>
      <c r="G545" s="6"/>
      <c r="H545" s="6"/>
      <c r="I545" s="2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2"/>
      <c r="B546" s="6"/>
      <c r="C546" s="6"/>
      <c r="D546" s="6"/>
      <c r="E546" s="6"/>
      <c r="F546" s="6"/>
      <c r="G546" s="6"/>
      <c r="H546" s="6"/>
      <c r="I546" s="2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2"/>
      <c r="B547" s="6"/>
      <c r="C547" s="6"/>
      <c r="D547" s="6"/>
      <c r="E547" s="6"/>
      <c r="F547" s="6"/>
      <c r="G547" s="6"/>
      <c r="H547" s="6"/>
      <c r="I547" s="2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2"/>
      <c r="B548" s="6"/>
      <c r="C548" s="6"/>
      <c r="D548" s="6"/>
      <c r="E548" s="6"/>
      <c r="F548" s="6"/>
      <c r="G548" s="6"/>
      <c r="H548" s="6"/>
      <c r="I548" s="2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2"/>
      <c r="B549" s="6"/>
      <c r="C549" s="6"/>
      <c r="D549" s="6"/>
      <c r="E549" s="6"/>
      <c r="F549" s="6"/>
      <c r="G549" s="6"/>
      <c r="H549" s="6"/>
      <c r="I549" s="2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2"/>
      <c r="B550" s="6"/>
      <c r="C550" s="6"/>
      <c r="D550" s="6"/>
      <c r="E550" s="6"/>
      <c r="F550" s="6"/>
      <c r="G550" s="6"/>
      <c r="H550" s="6"/>
      <c r="I550" s="2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2"/>
      <c r="B551" s="6"/>
      <c r="C551" s="6"/>
      <c r="D551" s="6"/>
      <c r="E551" s="6"/>
      <c r="F551" s="6"/>
      <c r="G551" s="6"/>
      <c r="H551" s="6"/>
      <c r="I551" s="2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2"/>
      <c r="B552" s="6"/>
      <c r="C552" s="6"/>
      <c r="D552" s="6"/>
      <c r="E552" s="6"/>
      <c r="F552" s="6"/>
      <c r="G552" s="6"/>
      <c r="H552" s="6"/>
      <c r="I552" s="2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2"/>
      <c r="B553" s="6"/>
      <c r="C553" s="6"/>
      <c r="D553" s="6"/>
      <c r="E553" s="6"/>
      <c r="F553" s="6"/>
      <c r="G553" s="6"/>
      <c r="H553" s="6"/>
      <c r="I553" s="2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2"/>
      <c r="B554" s="6"/>
      <c r="C554" s="6"/>
      <c r="D554" s="6"/>
      <c r="E554" s="6"/>
      <c r="F554" s="6"/>
      <c r="G554" s="6"/>
      <c r="H554" s="6"/>
      <c r="I554" s="2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2"/>
      <c r="B555" s="6"/>
      <c r="C555" s="6"/>
      <c r="D555" s="6"/>
      <c r="E555" s="6"/>
      <c r="F555" s="6"/>
      <c r="G555" s="6"/>
      <c r="H555" s="6"/>
      <c r="I555" s="2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2"/>
      <c r="B556" s="6"/>
      <c r="C556" s="6"/>
      <c r="D556" s="6"/>
      <c r="E556" s="6"/>
      <c r="F556" s="6"/>
      <c r="G556" s="6"/>
      <c r="H556" s="6"/>
      <c r="I556" s="2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2"/>
      <c r="B557" s="6"/>
      <c r="C557" s="6"/>
      <c r="D557" s="6"/>
      <c r="E557" s="6"/>
      <c r="F557" s="6"/>
      <c r="G557" s="6"/>
      <c r="H557" s="6"/>
      <c r="I557" s="2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2"/>
      <c r="B558" s="6"/>
      <c r="C558" s="6"/>
      <c r="D558" s="6"/>
      <c r="E558" s="6"/>
      <c r="F558" s="6"/>
      <c r="G558" s="6"/>
      <c r="H558" s="6"/>
      <c r="I558" s="2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2"/>
      <c r="B559" s="6"/>
      <c r="C559" s="6"/>
      <c r="D559" s="6"/>
      <c r="E559" s="6"/>
      <c r="F559" s="6"/>
      <c r="G559" s="6"/>
      <c r="H559" s="6"/>
      <c r="I559" s="2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2"/>
      <c r="B560" s="6"/>
      <c r="C560" s="6"/>
      <c r="D560" s="6"/>
      <c r="E560" s="6"/>
      <c r="F560" s="6"/>
      <c r="G560" s="6"/>
      <c r="H560" s="6"/>
      <c r="I560" s="2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2"/>
      <c r="B561" s="6"/>
      <c r="C561" s="6"/>
      <c r="D561" s="6"/>
      <c r="E561" s="6"/>
      <c r="F561" s="6"/>
      <c r="G561" s="6"/>
      <c r="H561" s="6"/>
      <c r="I561" s="2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2"/>
      <c r="B562" s="6"/>
      <c r="C562" s="6"/>
      <c r="D562" s="6"/>
      <c r="E562" s="6"/>
      <c r="F562" s="6"/>
      <c r="G562" s="6"/>
      <c r="H562" s="6"/>
      <c r="I562" s="2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2"/>
      <c r="B563" s="6"/>
      <c r="C563" s="6"/>
      <c r="D563" s="6"/>
      <c r="E563" s="6"/>
      <c r="F563" s="6"/>
      <c r="G563" s="6"/>
      <c r="H563" s="6"/>
      <c r="I563" s="2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2"/>
      <c r="B564" s="6"/>
      <c r="C564" s="6"/>
      <c r="D564" s="6"/>
      <c r="E564" s="6"/>
      <c r="F564" s="6"/>
      <c r="G564" s="6"/>
      <c r="H564" s="6"/>
      <c r="I564" s="2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2"/>
      <c r="B565" s="6"/>
      <c r="C565" s="6"/>
      <c r="D565" s="6"/>
      <c r="E565" s="6"/>
      <c r="F565" s="6"/>
      <c r="G565" s="6"/>
      <c r="H565" s="6"/>
      <c r="I565" s="2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2"/>
      <c r="B566" s="6"/>
      <c r="C566" s="6"/>
      <c r="D566" s="6"/>
      <c r="E566" s="6"/>
      <c r="F566" s="6"/>
      <c r="G566" s="6"/>
      <c r="H566" s="6"/>
      <c r="I566" s="2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2"/>
      <c r="B567" s="6"/>
      <c r="C567" s="6"/>
      <c r="D567" s="6"/>
      <c r="E567" s="6"/>
      <c r="F567" s="6"/>
      <c r="G567" s="6"/>
      <c r="H567" s="6"/>
      <c r="I567" s="2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2"/>
      <c r="B568" s="6"/>
      <c r="C568" s="6"/>
      <c r="D568" s="6"/>
      <c r="E568" s="6"/>
      <c r="F568" s="6"/>
      <c r="G568" s="6"/>
      <c r="H568" s="6"/>
      <c r="I568" s="2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2"/>
      <c r="B569" s="6"/>
      <c r="C569" s="6"/>
      <c r="D569" s="6"/>
      <c r="E569" s="6"/>
      <c r="F569" s="6"/>
      <c r="G569" s="6"/>
      <c r="H569" s="6"/>
      <c r="I569" s="2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2"/>
      <c r="B570" s="6"/>
      <c r="C570" s="6"/>
      <c r="D570" s="6"/>
      <c r="E570" s="6"/>
      <c r="F570" s="6"/>
      <c r="G570" s="6"/>
      <c r="H570" s="6"/>
      <c r="I570" s="2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2"/>
      <c r="B571" s="6"/>
      <c r="C571" s="6"/>
      <c r="D571" s="6"/>
      <c r="E571" s="6"/>
      <c r="F571" s="6"/>
      <c r="G571" s="6"/>
      <c r="H571" s="6"/>
      <c r="I571" s="2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2"/>
      <c r="B572" s="6"/>
      <c r="C572" s="6"/>
      <c r="D572" s="6"/>
      <c r="E572" s="6"/>
      <c r="F572" s="6"/>
      <c r="G572" s="6"/>
      <c r="H572" s="6"/>
      <c r="I572" s="2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2"/>
      <c r="B573" s="6"/>
      <c r="C573" s="6"/>
      <c r="D573" s="6"/>
      <c r="E573" s="6"/>
      <c r="F573" s="6"/>
      <c r="G573" s="6"/>
      <c r="H573" s="6"/>
      <c r="I573" s="2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2"/>
      <c r="B574" s="6"/>
      <c r="C574" s="6"/>
      <c r="D574" s="6"/>
      <c r="E574" s="6"/>
      <c r="F574" s="6"/>
      <c r="G574" s="6"/>
      <c r="H574" s="6"/>
      <c r="I574" s="2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2"/>
      <c r="B575" s="6"/>
      <c r="C575" s="6"/>
      <c r="D575" s="6"/>
      <c r="E575" s="6"/>
      <c r="F575" s="6"/>
      <c r="G575" s="6"/>
      <c r="H575" s="6"/>
      <c r="I575" s="2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2"/>
      <c r="B576" s="6"/>
      <c r="C576" s="6"/>
      <c r="D576" s="6"/>
      <c r="E576" s="6"/>
      <c r="F576" s="6"/>
      <c r="G576" s="6"/>
      <c r="H576" s="6"/>
      <c r="I576" s="2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2"/>
      <c r="B577" s="6"/>
      <c r="C577" s="6"/>
      <c r="D577" s="6"/>
      <c r="E577" s="6"/>
      <c r="F577" s="6"/>
      <c r="G577" s="6"/>
      <c r="H577" s="6"/>
      <c r="I577" s="2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2"/>
      <c r="B578" s="6"/>
      <c r="C578" s="6"/>
      <c r="D578" s="6"/>
      <c r="E578" s="6"/>
      <c r="F578" s="6"/>
      <c r="G578" s="6"/>
      <c r="H578" s="6"/>
      <c r="I578" s="2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2"/>
      <c r="B579" s="6"/>
      <c r="C579" s="6"/>
      <c r="D579" s="6"/>
      <c r="E579" s="6"/>
      <c r="F579" s="6"/>
      <c r="G579" s="6"/>
      <c r="H579" s="6"/>
      <c r="I579" s="2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2"/>
      <c r="B580" s="6"/>
      <c r="C580" s="6"/>
      <c r="D580" s="6"/>
      <c r="E580" s="6"/>
      <c r="F580" s="6"/>
      <c r="G580" s="6"/>
      <c r="H580" s="6"/>
      <c r="I580" s="2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2"/>
      <c r="B581" s="6"/>
      <c r="C581" s="6"/>
      <c r="D581" s="6"/>
      <c r="E581" s="6"/>
      <c r="F581" s="6"/>
      <c r="G581" s="6"/>
      <c r="H581" s="6"/>
      <c r="I581" s="2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2"/>
      <c r="B582" s="6"/>
      <c r="C582" s="6"/>
      <c r="D582" s="6"/>
      <c r="E582" s="6"/>
      <c r="F582" s="6"/>
      <c r="G582" s="6"/>
      <c r="H582" s="6"/>
      <c r="I582" s="2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2"/>
      <c r="B583" s="6"/>
      <c r="C583" s="6"/>
      <c r="D583" s="6"/>
      <c r="E583" s="6"/>
      <c r="F583" s="6"/>
      <c r="G583" s="6"/>
      <c r="H583" s="6"/>
      <c r="I583" s="2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2"/>
      <c r="B584" s="6"/>
      <c r="C584" s="6"/>
      <c r="D584" s="6"/>
      <c r="E584" s="6"/>
      <c r="F584" s="6"/>
      <c r="G584" s="6"/>
      <c r="H584" s="6"/>
      <c r="I584" s="2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2"/>
      <c r="B585" s="6"/>
      <c r="C585" s="6"/>
      <c r="D585" s="6"/>
      <c r="E585" s="6"/>
      <c r="F585" s="6"/>
      <c r="G585" s="6"/>
      <c r="H585" s="6"/>
      <c r="I585" s="2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2"/>
      <c r="B586" s="6"/>
      <c r="C586" s="6"/>
      <c r="D586" s="6"/>
      <c r="E586" s="6"/>
      <c r="F586" s="6"/>
      <c r="G586" s="6"/>
      <c r="H586" s="6"/>
      <c r="I586" s="2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2"/>
      <c r="B587" s="6"/>
      <c r="C587" s="6"/>
      <c r="D587" s="6"/>
      <c r="E587" s="6"/>
      <c r="F587" s="6"/>
      <c r="G587" s="6"/>
      <c r="H587" s="6"/>
      <c r="I587" s="2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2"/>
      <c r="B588" s="6"/>
      <c r="C588" s="6"/>
      <c r="D588" s="6"/>
      <c r="E588" s="6"/>
      <c r="F588" s="6"/>
      <c r="G588" s="6"/>
      <c r="H588" s="6"/>
      <c r="I588" s="2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2"/>
      <c r="B589" s="6"/>
      <c r="C589" s="6"/>
      <c r="D589" s="6"/>
      <c r="E589" s="6"/>
      <c r="F589" s="6"/>
      <c r="G589" s="6"/>
      <c r="H589" s="6"/>
      <c r="I589" s="2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2"/>
      <c r="B590" s="6"/>
      <c r="C590" s="6"/>
      <c r="D590" s="6"/>
      <c r="E590" s="6"/>
      <c r="F590" s="6"/>
      <c r="G590" s="6"/>
      <c r="H590" s="6"/>
      <c r="I590" s="2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2"/>
      <c r="B591" s="6"/>
      <c r="C591" s="6"/>
      <c r="D591" s="6"/>
      <c r="E591" s="6"/>
      <c r="F591" s="6"/>
      <c r="G591" s="6"/>
      <c r="H591" s="6"/>
      <c r="I591" s="2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2"/>
      <c r="B592" s="6"/>
      <c r="C592" s="6"/>
      <c r="D592" s="6"/>
      <c r="E592" s="6"/>
      <c r="F592" s="6"/>
      <c r="G592" s="6"/>
      <c r="H592" s="6"/>
      <c r="I592" s="2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2"/>
      <c r="B593" s="6"/>
      <c r="C593" s="6"/>
      <c r="D593" s="6"/>
      <c r="E593" s="6"/>
      <c r="F593" s="6"/>
      <c r="G593" s="6"/>
      <c r="H593" s="6"/>
      <c r="I593" s="2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2"/>
      <c r="B594" s="6"/>
      <c r="C594" s="6"/>
      <c r="D594" s="6"/>
      <c r="E594" s="6"/>
      <c r="F594" s="6"/>
      <c r="G594" s="6"/>
      <c r="H594" s="6"/>
      <c r="I594" s="2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2"/>
      <c r="B595" s="6"/>
      <c r="C595" s="6"/>
      <c r="D595" s="6"/>
      <c r="E595" s="6"/>
      <c r="F595" s="6"/>
      <c r="G595" s="6"/>
      <c r="H595" s="6"/>
      <c r="I595" s="2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2"/>
      <c r="B596" s="6"/>
      <c r="C596" s="6"/>
      <c r="D596" s="6"/>
      <c r="E596" s="6"/>
      <c r="F596" s="6"/>
      <c r="G596" s="6"/>
      <c r="H596" s="6"/>
      <c r="I596" s="2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2"/>
      <c r="B597" s="6"/>
      <c r="C597" s="6"/>
      <c r="D597" s="6"/>
      <c r="E597" s="6"/>
      <c r="F597" s="6"/>
      <c r="G597" s="6"/>
      <c r="H597" s="6"/>
      <c r="I597" s="2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2"/>
      <c r="B598" s="6"/>
      <c r="C598" s="6"/>
      <c r="D598" s="6"/>
      <c r="E598" s="6"/>
      <c r="F598" s="6"/>
      <c r="G598" s="6"/>
      <c r="H598" s="6"/>
      <c r="I598" s="2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2"/>
      <c r="B599" s="6"/>
      <c r="C599" s="6"/>
      <c r="D599" s="6"/>
      <c r="E599" s="6"/>
      <c r="F599" s="6"/>
      <c r="G599" s="6"/>
      <c r="H599" s="6"/>
      <c r="I599" s="2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2"/>
      <c r="B600" s="6"/>
      <c r="C600" s="6"/>
      <c r="D600" s="6"/>
      <c r="E600" s="6"/>
      <c r="F600" s="6"/>
      <c r="G600" s="6"/>
      <c r="H600" s="6"/>
      <c r="I600" s="2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2"/>
      <c r="B601" s="6"/>
      <c r="C601" s="6"/>
      <c r="D601" s="6"/>
      <c r="E601" s="6"/>
      <c r="F601" s="6"/>
      <c r="G601" s="6"/>
      <c r="H601" s="6"/>
      <c r="I601" s="2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2"/>
      <c r="B602" s="6"/>
      <c r="C602" s="6"/>
      <c r="D602" s="6"/>
      <c r="E602" s="6"/>
      <c r="F602" s="6"/>
      <c r="G602" s="6"/>
      <c r="H602" s="6"/>
      <c r="I602" s="2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2"/>
      <c r="B603" s="6"/>
      <c r="C603" s="6"/>
      <c r="D603" s="6"/>
      <c r="E603" s="6"/>
      <c r="F603" s="6"/>
      <c r="G603" s="6"/>
      <c r="H603" s="6"/>
      <c r="I603" s="2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2"/>
      <c r="B604" s="6"/>
      <c r="C604" s="6"/>
      <c r="D604" s="6"/>
      <c r="E604" s="6"/>
      <c r="F604" s="6"/>
      <c r="G604" s="6"/>
      <c r="H604" s="6"/>
      <c r="I604" s="2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2"/>
      <c r="B605" s="6"/>
      <c r="C605" s="6"/>
      <c r="D605" s="6"/>
      <c r="E605" s="6"/>
      <c r="F605" s="6"/>
      <c r="G605" s="6"/>
      <c r="H605" s="6"/>
      <c r="I605" s="2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2"/>
      <c r="B606" s="6"/>
      <c r="C606" s="6"/>
      <c r="D606" s="6"/>
      <c r="E606" s="6"/>
      <c r="F606" s="6"/>
      <c r="G606" s="6"/>
      <c r="H606" s="6"/>
      <c r="I606" s="2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2"/>
      <c r="B607" s="6"/>
      <c r="C607" s="6"/>
      <c r="D607" s="6"/>
      <c r="E607" s="6"/>
      <c r="F607" s="6"/>
      <c r="G607" s="6"/>
      <c r="H607" s="6"/>
      <c r="I607" s="2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2"/>
      <c r="B608" s="6"/>
      <c r="C608" s="6"/>
      <c r="D608" s="6"/>
      <c r="E608" s="6"/>
      <c r="F608" s="6"/>
      <c r="G608" s="6"/>
      <c r="H608" s="6"/>
      <c r="I608" s="2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2"/>
      <c r="B609" s="6"/>
      <c r="C609" s="6"/>
      <c r="D609" s="6"/>
      <c r="E609" s="6"/>
      <c r="F609" s="6"/>
      <c r="G609" s="6"/>
      <c r="H609" s="6"/>
      <c r="I609" s="2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2"/>
      <c r="B610" s="6"/>
      <c r="C610" s="6"/>
      <c r="D610" s="6"/>
      <c r="E610" s="6"/>
      <c r="F610" s="6"/>
      <c r="G610" s="6"/>
      <c r="H610" s="6"/>
      <c r="I610" s="2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2"/>
      <c r="B611" s="6"/>
      <c r="C611" s="6"/>
      <c r="D611" s="6"/>
      <c r="E611" s="6"/>
      <c r="F611" s="6"/>
      <c r="G611" s="6"/>
      <c r="H611" s="6"/>
      <c r="I611" s="2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2"/>
      <c r="B612" s="6"/>
      <c r="C612" s="6"/>
      <c r="D612" s="6"/>
      <c r="E612" s="6"/>
      <c r="F612" s="6"/>
      <c r="G612" s="6"/>
      <c r="H612" s="6"/>
      <c r="I612" s="2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2"/>
      <c r="B613" s="6"/>
      <c r="C613" s="6"/>
      <c r="D613" s="6"/>
      <c r="E613" s="6"/>
      <c r="F613" s="6"/>
      <c r="G613" s="6"/>
      <c r="H613" s="6"/>
      <c r="I613" s="2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2"/>
      <c r="B614" s="6"/>
      <c r="C614" s="6"/>
      <c r="D614" s="6"/>
      <c r="E614" s="6"/>
      <c r="F614" s="6"/>
      <c r="G614" s="6"/>
      <c r="H614" s="6"/>
      <c r="I614" s="2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2"/>
      <c r="B615" s="6"/>
      <c r="C615" s="6"/>
      <c r="D615" s="6"/>
      <c r="E615" s="6"/>
      <c r="F615" s="6"/>
      <c r="G615" s="6"/>
      <c r="H615" s="6"/>
      <c r="I615" s="2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2"/>
      <c r="B616" s="6"/>
      <c r="C616" s="6"/>
      <c r="D616" s="6"/>
      <c r="E616" s="6"/>
      <c r="F616" s="6"/>
      <c r="G616" s="6"/>
      <c r="H616" s="6"/>
      <c r="I616" s="2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2"/>
      <c r="B617" s="6"/>
      <c r="C617" s="6"/>
      <c r="D617" s="6"/>
      <c r="E617" s="6"/>
      <c r="F617" s="6"/>
      <c r="G617" s="6"/>
      <c r="H617" s="6"/>
      <c r="I617" s="2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2"/>
      <c r="B618" s="6"/>
      <c r="C618" s="6"/>
      <c r="D618" s="6"/>
      <c r="E618" s="6"/>
      <c r="F618" s="6"/>
      <c r="G618" s="6"/>
      <c r="H618" s="6"/>
      <c r="I618" s="2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2"/>
      <c r="B619" s="6"/>
      <c r="C619" s="6"/>
      <c r="D619" s="6"/>
      <c r="E619" s="6"/>
      <c r="F619" s="6"/>
      <c r="G619" s="6"/>
      <c r="H619" s="6"/>
      <c r="I619" s="2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2"/>
      <c r="B620" s="6"/>
      <c r="C620" s="6"/>
      <c r="D620" s="6"/>
      <c r="E620" s="6"/>
      <c r="F620" s="6"/>
      <c r="G620" s="6"/>
      <c r="H620" s="6"/>
      <c r="I620" s="2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2"/>
      <c r="B621" s="6"/>
      <c r="C621" s="6"/>
      <c r="D621" s="6"/>
      <c r="E621" s="6"/>
      <c r="F621" s="6"/>
      <c r="G621" s="6"/>
      <c r="H621" s="6"/>
      <c r="I621" s="2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2"/>
      <c r="B622" s="6"/>
      <c r="C622" s="6"/>
      <c r="D622" s="6"/>
      <c r="E622" s="6"/>
      <c r="F622" s="6"/>
      <c r="G622" s="6"/>
      <c r="H622" s="6"/>
      <c r="I622" s="2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2"/>
      <c r="B623" s="6"/>
      <c r="C623" s="6"/>
      <c r="D623" s="6"/>
      <c r="E623" s="6"/>
      <c r="F623" s="6"/>
      <c r="G623" s="6"/>
      <c r="H623" s="6"/>
      <c r="I623" s="2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2"/>
      <c r="B624" s="6"/>
      <c r="C624" s="6"/>
      <c r="D624" s="6"/>
      <c r="E624" s="6"/>
      <c r="F624" s="6"/>
      <c r="G624" s="6"/>
      <c r="H624" s="6"/>
      <c r="I624" s="2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2"/>
      <c r="B625" s="6"/>
      <c r="C625" s="6"/>
      <c r="D625" s="6"/>
      <c r="E625" s="6"/>
      <c r="F625" s="6"/>
      <c r="G625" s="6"/>
      <c r="H625" s="6"/>
      <c r="I625" s="2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2"/>
      <c r="B626" s="6"/>
      <c r="C626" s="6"/>
      <c r="D626" s="6"/>
      <c r="E626" s="6"/>
      <c r="F626" s="6"/>
      <c r="G626" s="6"/>
      <c r="H626" s="6"/>
      <c r="I626" s="2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2"/>
      <c r="B627" s="6"/>
      <c r="C627" s="6"/>
      <c r="D627" s="6"/>
      <c r="E627" s="6"/>
      <c r="F627" s="6"/>
      <c r="G627" s="6"/>
      <c r="H627" s="6"/>
      <c r="I627" s="2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2"/>
      <c r="B628" s="6"/>
      <c r="C628" s="6"/>
      <c r="D628" s="6"/>
      <c r="E628" s="6"/>
      <c r="F628" s="6"/>
      <c r="G628" s="6"/>
      <c r="H628" s="6"/>
      <c r="I628" s="2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2"/>
      <c r="B629" s="6"/>
      <c r="C629" s="6"/>
      <c r="D629" s="6"/>
      <c r="E629" s="6"/>
      <c r="F629" s="6"/>
      <c r="G629" s="6"/>
      <c r="H629" s="6"/>
      <c r="I629" s="2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2"/>
      <c r="B630" s="6"/>
      <c r="C630" s="6"/>
      <c r="D630" s="6"/>
      <c r="E630" s="6"/>
      <c r="F630" s="6"/>
      <c r="G630" s="6"/>
      <c r="H630" s="6"/>
      <c r="I630" s="2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2"/>
      <c r="B631" s="6"/>
      <c r="C631" s="6"/>
      <c r="D631" s="6"/>
      <c r="E631" s="6"/>
      <c r="F631" s="6"/>
      <c r="G631" s="6"/>
      <c r="H631" s="6"/>
      <c r="I631" s="2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2"/>
      <c r="B632" s="6"/>
      <c r="C632" s="6"/>
      <c r="D632" s="6"/>
      <c r="E632" s="6"/>
      <c r="F632" s="6"/>
      <c r="G632" s="6"/>
      <c r="H632" s="6"/>
      <c r="I632" s="2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2"/>
      <c r="B633" s="6"/>
      <c r="C633" s="6"/>
      <c r="D633" s="6"/>
      <c r="E633" s="6"/>
      <c r="F633" s="6"/>
      <c r="G633" s="6"/>
      <c r="H633" s="6"/>
      <c r="I633" s="2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2"/>
      <c r="B634" s="6"/>
      <c r="C634" s="6"/>
      <c r="D634" s="6"/>
      <c r="E634" s="6"/>
      <c r="F634" s="6"/>
      <c r="G634" s="6"/>
      <c r="H634" s="6"/>
      <c r="I634" s="2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2"/>
      <c r="B635" s="6"/>
      <c r="C635" s="6"/>
      <c r="D635" s="6"/>
      <c r="E635" s="6"/>
      <c r="F635" s="6"/>
      <c r="G635" s="6"/>
      <c r="H635" s="6"/>
      <c r="I635" s="2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2"/>
      <c r="B636" s="6"/>
      <c r="C636" s="6"/>
      <c r="D636" s="6"/>
      <c r="E636" s="6"/>
      <c r="F636" s="6"/>
      <c r="G636" s="6"/>
      <c r="H636" s="6"/>
      <c r="I636" s="2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2"/>
      <c r="B637" s="6"/>
      <c r="C637" s="6"/>
      <c r="D637" s="6"/>
      <c r="E637" s="6"/>
      <c r="F637" s="6"/>
      <c r="G637" s="6"/>
      <c r="H637" s="6"/>
      <c r="I637" s="2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2"/>
      <c r="B638" s="6"/>
      <c r="C638" s="6"/>
      <c r="D638" s="6"/>
      <c r="E638" s="6"/>
      <c r="F638" s="6"/>
      <c r="G638" s="6"/>
      <c r="H638" s="6"/>
      <c r="I638" s="2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2"/>
      <c r="B639" s="6"/>
      <c r="C639" s="6"/>
      <c r="D639" s="6"/>
      <c r="E639" s="6"/>
      <c r="F639" s="6"/>
      <c r="G639" s="6"/>
      <c r="H639" s="6"/>
      <c r="I639" s="2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2"/>
      <c r="B640" s="6"/>
      <c r="C640" s="6"/>
      <c r="D640" s="6"/>
      <c r="E640" s="6"/>
      <c r="F640" s="6"/>
      <c r="G640" s="6"/>
      <c r="H640" s="6"/>
      <c r="I640" s="2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2"/>
      <c r="B641" s="6"/>
      <c r="C641" s="6"/>
      <c r="D641" s="6"/>
      <c r="E641" s="6"/>
      <c r="F641" s="6"/>
      <c r="G641" s="6"/>
      <c r="H641" s="6"/>
      <c r="I641" s="2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2"/>
      <c r="B642" s="6"/>
      <c r="C642" s="6"/>
      <c r="D642" s="6"/>
      <c r="E642" s="6"/>
      <c r="F642" s="6"/>
      <c r="G642" s="6"/>
      <c r="H642" s="6"/>
      <c r="I642" s="2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2"/>
      <c r="B643" s="6"/>
      <c r="C643" s="6"/>
      <c r="D643" s="6"/>
      <c r="E643" s="6"/>
      <c r="F643" s="6"/>
      <c r="G643" s="6"/>
      <c r="H643" s="6"/>
      <c r="I643" s="2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2"/>
      <c r="B644" s="6"/>
      <c r="C644" s="6"/>
      <c r="D644" s="6"/>
      <c r="E644" s="6"/>
      <c r="F644" s="6"/>
      <c r="G644" s="6"/>
      <c r="H644" s="6"/>
      <c r="I644" s="2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2"/>
      <c r="B645" s="6"/>
      <c r="C645" s="6"/>
      <c r="D645" s="6"/>
      <c r="E645" s="6"/>
      <c r="F645" s="6"/>
      <c r="G645" s="6"/>
      <c r="H645" s="6"/>
      <c r="I645" s="2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2"/>
      <c r="B646" s="6"/>
      <c r="C646" s="6"/>
      <c r="D646" s="6"/>
      <c r="E646" s="6"/>
      <c r="F646" s="6"/>
      <c r="G646" s="6"/>
      <c r="H646" s="6"/>
      <c r="I646" s="2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2"/>
      <c r="B647" s="6"/>
      <c r="C647" s="6"/>
      <c r="D647" s="6"/>
      <c r="E647" s="6"/>
      <c r="F647" s="6"/>
      <c r="G647" s="6"/>
      <c r="H647" s="6"/>
      <c r="I647" s="2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2"/>
      <c r="B648" s="6"/>
      <c r="C648" s="6"/>
      <c r="D648" s="6"/>
      <c r="E648" s="6"/>
      <c r="F648" s="6"/>
      <c r="G648" s="6"/>
      <c r="H648" s="6"/>
      <c r="I648" s="2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2"/>
      <c r="B649" s="6"/>
      <c r="C649" s="6"/>
      <c r="D649" s="6"/>
      <c r="E649" s="6"/>
      <c r="F649" s="6"/>
      <c r="G649" s="6"/>
      <c r="H649" s="6"/>
      <c r="I649" s="2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2"/>
      <c r="B650" s="6"/>
      <c r="C650" s="6"/>
      <c r="D650" s="6"/>
      <c r="E650" s="6"/>
      <c r="F650" s="6"/>
      <c r="G650" s="6"/>
      <c r="H650" s="6"/>
      <c r="I650" s="2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2"/>
      <c r="B651" s="6"/>
      <c r="C651" s="6"/>
      <c r="D651" s="6"/>
      <c r="E651" s="6"/>
      <c r="F651" s="6"/>
      <c r="G651" s="6"/>
      <c r="H651" s="6"/>
      <c r="I651" s="2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2"/>
      <c r="B652" s="6"/>
      <c r="C652" s="6"/>
      <c r="D652" s="6"/>
      <c r="E652" s="6"/>
      <c r="F652" s="6"/>
      <c r="G652" s="6"/>
      <c r="H652" s="6"/>
      <c r="I652" s="2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2"/>
      <c r="B653" s="6"/>
      <c r="C653" s="6"/>
      <c r="D653" s="6"/>
      <c r="E653" s="6"/>
      <c r="F653" s="6"/>
      <c r="G653" s="6"/>
      <c r="H653" s="6"/>
      <c r="I653" s="2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2"/>
      <c r="B654" s="6"/>
      <c r="C654" s="6"/>
      <c r="D654" s="6"/>
      <c r="E654" s="6"/>
      <c r="F654" s="6"/>
      <c r="G654" s="6"/>
      <c r="H654" s="6"/>
      <c r="I654" s="2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2"/>
      <c r="B655" s="6"/>
      <c r="C655" s="6"/>
      <c r="D655" s="6"/>
      <c r="E655" s="6"/>
      <c r="F655" s="6"/>
      <c r="G655" s="6"/>
      <c r="H655" s="6"/>
      <c r="I655" s="2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2"/>
      <c r="B656" s="6"/>
      <c r="C656" s="6"/>
      <c r="D656" s="6"/>
      <c r="E656" s="6"/>
      <c r="F656" s="6"/>
      <c r="G656" s="6"/>
      <c r="H656" s="6"/>
      <c r="I656" s="2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2"/>
      <c r="B657" s="6"/>
      <c r="C657" s="6"/>
      <c r="D657" s="6"/>
      <c r="E657" s="6"/>
      <c r="F657" s="6"/>
      <c r="G657" s="6"/>
      <c r="H657" s="6"/>
      <c r="I657" s="2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2"/>
      <c r="B658" s="6"/>
      <c r="C658" s="6"/>
      <c r="D658" s="6"/>
      <c r="E658" s="6"/>
      <c r="F658" s="6"/>
      <c r="G658" s="6"/>
      <c r="H658" s="6"/>
      <c r="I658" s="2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2"/>
      <c r="B659" s="6"/>
      <c r="C659" s="6"/>
      <c r="D659" s="6"/>
      <c r="E659" s="6"/>
      <c r="F659" s="6"/>
      <c r="G659" s="6"/>
      <c r="H659" s="6"/>
      <c r="I659" s="2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2"/>
      <c r="B660" s="6"/>
      <c r="C660" s="6"/>
      <c r="D660" s="6"/>
      <c r="E660" s="6"/>
      <c r="F660" s="6"/>
      <c r="G660" s="6"/>
      <c r="H660" s="6"/>
      <c r="I660" s="2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2"/>
      <c r="B661" s="6"/>
      <c r="C661" s="6"/>
      <c r="D661" s="6"/>
      <c r="E661" s="6"/>
      <c r="F661" s="6"/>
      <c r="G661" s="6"/>
      <c r="H661" s="6"/>
      <c r="I661" s="2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2"/>
      <c r="B662" s="6"/>
      <c r="C662" s="6"/>
      <c r="D662" s="6"/>
      <c r="E662" s="6"/>
      <c r="F662" s="6"/>
      <c r="G662" s="6"/>
      <c r="H662" s="6"/>
      <c r="I662" s="2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2"/>
      <c r="B663" s="6"/>
      <c r="C663" s="6"/>
      <c r="D663" s="6"/>
      <c r="E663" s="6"/>
      <c r="F663" s="6"/>
      <c r="G663" s="6"/>
      <c r="H663" s="6"/>
      <c r="I663" s="2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2"/>
      <c r="B664" s="6"/>
      <c r="C664" s="6"/>
      <c r="D664" s="6"/>
      <c r="E664" s="6"/>
      <c r="F664" s="6"/>
      <c r="G664" s="6"/>
      <c r="H664" s="6"/>
      <c r="I664" s="2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2"/>
      <c r="B665" s="6"/>
      <c r="C665" s="6"/>
      <c r="D665" s="6"/>
      <c r="E665" s="6"/>
      <c r="F665" s="6"/>
      <c r="G665" s="6"/>
      <c r="H665" s="6"/>
      <c r="I665" s="2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2"/>
      <c r="B666" s="6"/>
      <c r="C666" s="6"/>
      <c r="D666" s="6"/>
      <c r="E666" s="6"/>
      <c r="F666" s="6"/>
      <c r="G666" s="6"/>
      <c r="H666" s="6"/>
      <c r="I666" s="2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2"/>
      <c r="B667" s="6"/>
      <c r="C667" s="6"/>
      <c r="D667" s="6"/>
      <c r="E667" s="6"/>
      <c r="F667" s="6"/>
      <c r="G667" s="6"/>
      <c r="H667" s="6"/>
      <c r="I667" s="2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2"/>
      <c r="B668" s="6"/>
      <c r="C668" s="6"/>
      <c r="D668" s="6"/>
      <c r="E668" s="6"/>
      <c r="F668" s="6"/>
      <c r="G668" s="6"/>
      <c r="H668" s="6"/>
      <c r="I668" s="2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2"/>
      <c r="B669" s="6"/>
      <c r="C669" s="6"/>
      <c r="D669" s="6"/>
      <c r="E669" s="6"/>
      <c r="F669" s="6"/>
      <c r="G669" s="6"/>
      <c r="H669" s="6"/>
      <c r="I669" s="2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2"/>
      <c r="B670" s="6"/>
      <c r="C670" s="6"/>
      <c r="D670" s="6"/>
      <c r="E670" s="6"/>
      <c r="F670" s="6"/>
      <c r="G670" s="6"/>
      <c r="H670" s="6"/>
      <c r="I670" s="2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2"/>
      <c r="B671" s="6"/>
      <c r="C671" s="6"/>
      <c r="D671" s="6"/>
      <c r="E671" s="6"/>
      <c r="F671" s="6"/>
      <c r="G671" s="6"/>
      <c r="H671" s="6"/>
      <c r="I671" s="2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2"/>
      <c r="B672" s="6"/>
      <c r="C672" s="6"/>
      <c r="D672" s="6"/>
      <c r="E672" s="6"/>
      <c r="F672" s="6"/>
      <c r="G672" s="6"/>
      <c r="H672" s="6"/>
      <c r="I672" s="2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2"/>
      <c r="B673" s="6"/>
      <c r="C673" s="6"/>
      <c r="D673" s="6"/>
      <c r="E673" s="6"/>
      <c r="F673" s="6"/>
      <c r="G673" s="6"/>
      <c r="H673" s="6"/>
      <c r="I673" s="2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2"/>
      <c r="B674" s="6"/>
      <c r="C674" s="6"/>
      <c r="D674" s="6"/>
      <c r="E674" s="6"/>
      <c r="F674" s="6"/>
      <c r="G674" s="6"/>
      <c r="H674" s="6"/>
      <c r="I674" s="2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2"/>
      <c r="B675" s="6"/>
      <c r="C675" s="6"/>
      <c r="D675" s="6"/>
      <c r="E675" s="6"/>
      <c r="F675" s="6"/>
      <c r="G675" s="6"/>
      <c r="H675" s="6"/>
      <c r="I675" s="2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2"/>
      <c r="B676" s="6"/>
      <c r="C676" s="6"/>
      <c r="D676" s="6"/>
      <c r="E676" s="6"/>
      <c r="F676" s="6"/>
      <c r="G676" s="6"/>
      <c r="H676" s="6"/>
      <c r="I676" s="2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2"/>
      <c r="B677" s="6"/>
      <c r="C677" s="6"/>
      <c r="D677" s="6"/>
      <c r="E677" s="6"/>
      <c r="F677" s="6"/>
      <c r="G677" s="6"/>
      <c r="H677" s="6"/>
      <c r="I677" s="2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2"/>
      <c r="B678" s="6"/>
      <c r="C678" s="6"/>
      <c r="D678" s="6"/>
      <c r="E678" s="6"/>
      <c r="F678" s="6"/>
      <c r="G678" s="6"/>
      <c r="H678" s="6"/>
      <c r="I678" s="2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2"/>
      <c r="B679" s="6"/>
      <c r="C679" s="6"/>
      <c r="D679" s="6"/>
      <c r="E679" s="6"/>
      <c r="F679" s="6"/>
      <c r="G679" s="6"/>
      <c r="H679" s="6"/>
      <c r="I679" s="2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2"/>
      <c r="B680" s="6"/>
      <c r="C680" s="6"/>
      <c r="D680" s="6"/>
      <c r="E680" s="6"/>
      <c r="F680" s="6"/>
      <c r="G680" s="6"/>
      <c r="H680" s="6"/>
      <c r="I680" s="2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2"/>
      <c r="B681" s="6"/>
      <c r="C681" s="6"/>
      <c r="D681" s="6"/>
      <c r="E681" s="6"/>
      <c r="F681" s="6"/>
      <c r="G681" s="6"/>
      <c r="H681" s="6"/>
      <c r="I681" s="2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2"/>
      <c r="B682" s="6"/>
      <c r="C682" s="6"/>
      <c r="D682" s="6"/>
      <c r="E682" s="6"/>
      <c r="F682" s="6"/>
      <c r="G682" s="6"/>
      <c r="H682" s="6"/>
      <c r="I682" s="2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2"/>
      <c r="B683" s="6"/>
      <c r="C683" s="6"/>
      <c r="D683" s="6"/>
      <c r="E683" s="6"/>
      <c r="F683" s="6"/>
      <c r="G683" s="6"/>
      <c r="H683" s="6"/>
      <c r="I683" s="2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2"/>
      <c r="B684" s="6"/>
      <c r="C684" s="6"/>
      <c r="D684" s="6"/>
      <c r="E684" s="6"/>
      <c r="F684" s="6"/>
      <c r="G684" s="6"/>
      <c r="H684" s="6"/>
      <c r="I684" s="2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2"/>
      <c r="B685" s="6"/>
      <c r="C685" s="6"/>
      <c r="D685" s="6"/>
      <c r="E685" s="6"/>
      <c r="F685" s="6"/>
      <c r="G685" s="6"/>
      <c r="H685" s="6"/>
      <c r="I685" s="2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2"/>
      <c r="B686" s="6"/>
      <c r="C686" s="6"/>
      <c r="D686" s="6"/>
      <c r="E686" s="6"/>
      <c r="F686" s="6"/>
      <c r="G686" s="6"/>
      <c r="H686" s="6"/>
      <c r="I686" s="2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2"/>
      <c r="B687" s="6"/>
      <c r="C687" s="6"/>
      <c r="D687" s="6"/>
      <c r="E687" s="6"/>
      <c r="F687" s="6"/>
      <c r="G687" s="6"/>
      <c r="H687" s="6"/>
      <c r="I687" s="2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2"/>
      <c r="B688" s="6"/>
      <c r="C688" s="6"/>
      <c r="D688" s="6"/>
      <c r="E688" s="6"/>
      <c r="F688" s="6"/>
      <c r="G688" s="6"/>
      <c r="H688" s="6"/>
      <c r="I688" s="2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2"/>
      <c r="B689" s="6"/>
      <c r="C689" s="6"/>
      <c r="D689" s="6"/>
      <c r="E689" s="6"/>
      <c r="F689" s="6"/>
      <c r="G689" s="6"/>
      <c r="H689" s="6"/>
      <c r="I689" s="2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2"/>
      <c r="B690" s="6"/>
      <c r="C690" s="6"/>
      <c r="D690" s="6"/>
      <c r="E690" s="6"/>
      <c r="F690" s="6"/>
      <c r="G690" s="6"/>
      <c r="H690" s="6"/>
      <c r="I690" s="2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2"/>
      <c r="B691" s="6"/>
      <c r="C691" s="6"/>
      <c r="D691" s="6"/>
      <c r="E691" s="6"/>
      <c r="F691" s="6"/>
      <c r="G691" s="6"/>
      <c r="H691" s="6"/>
      <c r="I691" s="2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2"/>
      <c r="B692" s="6"/>
      <c r="C692" s="6"/>
      <c r="D692" s="6"/>
      <c r="E692" s="6"/>
      <c r="F692" s="6"/>
      <c r="G692" s="6"/>
      <c r="H692" s="6"/>
      <c r="I692" s="2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2"/>
      <c r="B693" s="6"/>
      <c r="C693" s="6"/>
      <c r="D693" s="6"/>
      <c r="E693" s="6"/>
      <c r="F693" s="6"/>
      <c r="G693" s="6"/>
      <c r="H693" s="6"/>
      <c r="I693" s="2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2"/>
      <c r="B694" s="6"/>
      <c r="C694" s="6"/>
      <c r="D694" s="6"/>
      <c r="E694" s="6"/>
      <c r="F694" s="6"/>
      <c r="G694" s="6"/>
      <c r="H694" s="6"/>
      <c r="I694" s="2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2"/>
      <c r="B695" s="6"/>
      <c r="C695" s="6"/>
      <c r="D695" s="6"/>
      <c r="E695" s="6"/>
      <c r="F695" s="6"/>
      <c r="G695" s="6"/>
      <c r="H695" s="6"/>
      <c r="I695" s="2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2"/>
      <c r="B696" s="6"/>
      <c r="C696" s="6"/>
      <c r="D696" s="6"/>
      <c r="E696" s="6"/>
      <c r="F696" s="6"/>
      <c r="G696" s="6"/>
      <c r="H696" s="6"/>
      <c r="I696" s="2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2"/>
      <c r="B697" s="6"/>
      <c r="C697" s="6"/>
      <c r="D697" s="6"/>
      <c r="E697" s="6"/>
      <c r="F697" s="6"/>
      <c r="G697" s="6"/>
      <c r="H697" s="6"/>
      <c r="I697" s="2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2"/>
      <c r="B698" s="6"/>
      <c r="C698" s="6"/>
      <c r="D698" s="6"/>
      <c r="E698" s="6"/>
      <c r="F698" s="6"/>
      <c r="G698" s="6"/>
      <c r="H698" s="6"/>
      <c r="I698" s="2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2"/>
      <c r="B699" s="6"/>
      <c r="C699" s="6"/>
      <c r="D699" s="6"/>
      <c r="E699" s="6"/>
      <c r="F699" s="6"/>
      <c r="G699" s="6"/>
      <c r="H699" s="6"/>
      <c r="I699" s="2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2"/>
      <c r="B700" s="6"/>
      <c r="C700" s="6"/>
      <c r="D700" s="6"/>
      <c r="E700" s="6"/>
      <c r="F700" s="6"/>
      <c r="G700" s="6"/>
      <c r="H700" s="6"/>
      <c r="I700" s="2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2"/>
      <c r="B701" s="6"/>
      <c r="C701" s="6"/>
      <c r="D701" s="6"/>
      <c r="E701" s="6"/>
      <c r="F701" s="6"/>
      <c r="G701" s="6"/>
      <c r="H701" s="6"/>
      <c r="I701" s="2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2"/>
      <c r="B702" s="6"/>
      <c r="C702" s="6"/>
      <c r="D702" s="6"/>
      <c r="E702" s="6"/>
      <c r="F702" s="6"/>
      <c r="G702" s="6"/>
      <c r="H702" s="6"/>
      <c r="I702" s="2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2"/>
      <c r="B703" s="6"/>
      <c r="C703" s="6"/>
      <c r="D703" s="6"/>
      <c r="E703" s="6"/>
      <c r="F703" s="6"/>
      <c r="G703" s="6"/>
      <c r="H703" s="6"/>
      <c r="I703" s="2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2"/>
      <c r="B704" s="6"/>
      <c r="C704" s="6"/>
      <c r="D704" s="6"/>
      <c r="E704" s="6"/>
      <c r="F704" s="6"/>
      <c r="G704" s="6"/>
      <c r="H704" s="6"/>
      <c r="I704" s="2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2"/>
      <c r="B705" s="6"/>
      <c r="C705" s="6"/>
      <c r="D705" s="6"/>
      <c r="E705" s="6"/>
      <c r="F705" s="6"/>
      <c r="G705" s="6"/>
      <c r="H705" s="6"/>
      <c r="I705" s="2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2"/>
      <c r="B706" s="6"/>
      <c r="C706" s="6"/>
      <c r="D706" s="6"/>
      <c r="E706" s="6"/>
      <c r="F706" s="6"/>
      <c r="G706" s="6"/>
      <c r="H706" s="6"/>
      <c r="I706" s="2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2"/>
      <c r="B707" s="6"/>
      <c r="C707" s="6"/>
      <c r="D707" s="6"/>
      <c r="E707" s="6"/>
      <c r="F707" s="6"/>
      <c r="G707" s="6"/>
      <c r="H707" s="6"/>
      <c r="I707" s="2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2"/>
      <c r="B708" s="6"/>
      <c r="C708" s="6"/>
      <c r="D708" s="6"/>
      <c r="E708" s="6"/>
      <c r="F708" s="6"/>
      <c r="G708" s="6"/>
      <c r="H708" s="6"/>
      <c r="I708" s="2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2"/>
      <c r="B709" s="6"/>
      <c r="C709" s="6"/>
      <c r="D709" s="6"/>
      <c r="E709" s="6"/>
      <c r="F709" s="6"/>
      <c r="G709" s="6"/>
      <c r="H709" s="6"/>
      <c r="I709" s="2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2"/>
      <c r="B710" s="6"/>
      <c r="C710" s="6"/>
      <c r="D710" s="6"/>
      <c r="E710" s="6"/>
      <c r="F710" s="6"/>
      <c r="G710" s="6"/>
      <c r="H710" s="6"/>
      <c r="I710" s="2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2"/>
      <c r="B711" s="6"/>
      <c r="C711" s="6"/>
      <c r="D711" s="6"/>
      <c r="E711" s="6"/>
      <c r="F711" s="6"/>
      <c r="G711" s="6"/>
      <c r="H711" s="6"/>
      <c r="I711" s="2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2"/>
      <c r="B712" s="6"/>
      <c r="C712" s="6"/>
      <c r="D712" s="6"/>
      <c r="E712" s="6"/>
      <c r="F712" s="6"/>
      <c r="G712" s="6"/>
      <c r="H712" s="6"/>
      <c r="I712" s="2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2"/>
      <c r="B713" s="6"/>
      <c r="C713" s="6"/>
      <c r="D713" s="6"/>
      <c r="E713" s="6"/>
      <c r="F713" s="6"/>
      <c r="G713" s="6"/>
      <c r="H713" s="6"/>
      <c r="I713" s="2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2"/>
      <c r="B714" s="6"/>
      <c r="C714" s="6"/>
      <c r="D714" s="6"/>
      <c r="E714" s="6"/>
      <c r="F714" s="6"/>
      <c r="G714" s="6"/>
      <c r="H714" s="6"/>
      <c r="I714" s="2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2"/>
      <c r="B715" s="6"/>
      <c r="C715" s="6"/>
      <c r="D715" s="6"/>
      <c r="E715" s="6"/>
      <c r="F715" s="6"/>
      <c r="G715" s="6"/>
      <c r="H715" s="6"/>
      <c r="I715" s="2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2"/>
      <c r="B716" s="6"/>
      <c r="C716" s="6"/>
      <c r="D716" s="6"/>
      <c r="E716" s="6"/>
      <c r="F716" s="6"/>
      <c r="G716" s="6"/>
      <c r="H716" s="6"/>
      <c r="I716" s="2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2"/>
      <c r="B717" s="6"/>
      <c r="C717" s="6"/>
      <c r="D717" s="6"/>
      <c r="E717" s="6"/>
      <c r="F717" s="6"/>
      <c r="G717" s="6"/>
      <c r="H717" s="6"/>
      <c r="I717" s="2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2"/>
      <c r="B718" s="6"/>
      <c r="C718" s="6"/>
      <c r="D718" s="6"/>
      <c r="E718" s="6"/>
      <c r="F718" s="6"/>
      <c r="G718" s="6"/>
      <c r="H718" s="6"/>
      <c r="I718" s="2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2"/>
      <c r="B719" s="6"/>
      <c r="C719" s="6"/>
      <c r="D719" s="6"/>
      <c r="E719" s="6"/>
      <c r="F719" s="6"/>
      <c r="G719" s="6"/>
      <c r="H719" s="6"/>
      <c r="I719" s="2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2"/>
      <c r="B720" s="6"/>
      <c r="C720" s="6"/>
      <c r="D720" s="6"/>
      <c r="E720" s="6"/>
      <c r="F720" s="6"/>
      <c r="G720" s="6"/>
      <c r="H720" s="6"/>
      <c r="I720" s="2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2"/>
      <c r="B721" s="6"/>
      <c r="C721" s="6"/>
      <c r="D721" s="6"/>
      <c r="E721" s="6"/>
      <c r="F721" s="6"/>
      <c r="G721" s="6"/>
      <c r="H721" s="6"/>
      <c r="I721" s="2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2"/>
      <c r="B722" s="6"/>
      <c r="C722" s="6"/>
      <c r="D722" s="6"/>
      <c r="E722" s="6"/>
      <c r="F722" s="6"/>
      <c r="G722" s="6"/>
      <c r="H722" s="6"/>
      <c r="I722" s="2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2"/>
      <c r="B723" s="6"/>
      <c r="C723" s="6"/>
      <c r="D723" s="6"/>
      <c r="E723" s="6"/>
      <c r="F723" s="6"/>
      <c r="G723" s="6"/>
      <c r="H723" s="6"/>
      <c r="I723" s="2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2"/>
      <c r="B724" s="6"/>
      <c r="C724" s="6"/>
      <c r="D724" s="6"/>
      <c r="E724" s="6"/>
      <c r="F724" s="6"/>
      <c r="G724" s="6"/>
      <c r="H724" s="6"/>
      <c r="I724" s="2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2"/>
      <c r="B725" s="6"/>
      <c r="C725" s="6"/>
      <c r="D725" s="6"/>
      <c r="E725" s="6"/>
      <c r="F725" s="6"/>
      <c r="G725" s="6"/>
      <c r="H725" s="6"/>
      <c r="I725" s="2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2"/>
      <c r="B726" s="6"/>
      <c r="C726" s="6"/>
      <c r="D726" s="6"/>
      <c r="E726" s="6"/>
      <c r="F726" s="6"/>
      <c r="G726" s="6"/>
      <c r="H726" s="6"/>
      <c r="I726" s="2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2"/>
      <c r="B727" s="6"/>
      <c r="C727" s="6"/>
      <c r="D727" s="6"/>
      <c r="E727" s="6"/>
      <c r="F727" s="6"/>
      <c r="G727" s="6"/>
      <c r="H727" s="6"/>
      <c r="I727" s="2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2"/>
      <c r="B728" s="6"/>
      <c r="C728" s="6"/>
      <c r="D728" s="6"/>
      <c r="E728" s="6"/>
      <c r="F728" s="6"/>
      <c r="G728" s="6"/>
      <c r="H728" s="6"/>
      <c r="I728" s="2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2"/>
      <c r="B729" s="6"/>
      <c r="C729" s="6"/>
      <c r="D729" s="6"/>
      <c r="E729" s="6"/>
      <c r="F729" s="6"/>
      <c r="G729" s="6"/>
      <c r="H729" s="6"/>
      <c r="I729" s="2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2"/>
      <c r="B730" s="6"/>
      <c r="C730" s="6"/>
      <c r="D730" s="6"/>
      <c r="E730" s="6"/>
      <c r="F730" s="6"/>
      <c r="G730" s="6"/>
      <c r="H730" s="6"/>
      <c r="I730" s="2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2"/>
      <c r="B731" s="6"/>
      <c r="C731" s="6"/>
      <c r="D731" s="6"/>
      <c r="E731" s="6"/>
      <c r="F731" s="6"/>
      <c r="G731" s="6"/>
      <c r="H731" s="6"/>
      <c r="I731" s="2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2"/>
      <c r="B732" s="6"/>
      <c r="C732" s="6"/>
      <c r="D732" s="6"/>
      <c r="E732" s="6"/>
      <c r="F732" s="6"/>
      <c r="G732" s="6"/>
      <c r="H732" s="6"/>
      <c r="I732" s="2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2"/>
      <c r="B733" s="6"/>
      <c r="C733" s="6"/>
      <c r="D733" s="6"/>
      <c r="E733" s="6"/>
      <c r="F733" s="6"/>
      <c r="G733" s="6"/>
      <c r="H733" s="6"/>
      <c r="I733" s="2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2"/>
      <c r="B734" s="6"/>
      <c r="C734" s="6"/>
      <c r="D734" s="6"/>
      <c r="E734" s="6"/>
      <c r="F734" s="6"/>
      <c r="G734" s="6"/>
      <c r="H734" s="6"/>
      <c r="I734" s="2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2"/>
      <c r="B735" s="6"/>
      <c r="C735" s="6"/>
      <c r="D735" s="6"/>
      <c r="E735" s="6"/>
      <c r="F735" s="6"/>
      <c r="G735" s="6"/>
      <c r="H735" s="6"/>
      <c r="I735" s="2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2"/>
      <c r="B736" s="6"/>
      <c r="C736" s="6"/>
      <c r="D736" s="6"/>
      <c r="E736" s="6"/>
      <c r="F736" s="6"/>
      <c r="G736" s="6"/>
      <c r="H736" s="6"/>
      <c r="I736" s="2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2"/>
      <c r="B737" s="6"/>
      <c r="C737" s="6"/>
      <c r="D737" s="6"/>
      <c r="E737" s="6"/>
      <c r="F737" s="6"/>
      <c r="G737" s="6"/>
      <c r="H737" s="6"/>
      <c r="I737" s="2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2"/>
      <c r="B738" s="6"/>
      <c r="C738" s="6"/>
      <c r="D738" s="6"/>
      <c r="E738" s="6"/>
      <c r="F738" s="6"/>
      <c r="G738" s="6"/>
      <c r="H738" s="6"/>
      <c r="I738" s="2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2"/>
      <c r="B739" s="6"/>
      <c r="C739" s="6"/>
      <c r="D739" s="6"/>
      <c r="E739" s="6"/>
      <c r="F739" s="6"/>
      <c r="G739" s="6"/>
      <c r="H739" s="6"/>
      <c r="I739" s="2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2"/>
      <c r="B740" s="6"/>
      <c r="C740" s="6"/>
      <c r="D740" s="6"/>
      <c r="E740" s="6"/>
      <c r="F740" s="6"/>
      <c r="G740" s="6"/>
      <c r="H740" s="6"/>
      <c r="I740" s="2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2"/>
      <c r="B741" s="6"/>
      <c r="C741" s="6"/>
      <c r="D741" s="6"/>
      <c r="E741" s="6"/>
      <c r="F741" s="6"/>
      <c r="G741" s="6"/>
      <c r="H741" s="6"/>
      <c r="I741" s="2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2"/>
      <c r="B742" s="6"/>
      <c r="C742" s="6"/>
      <c r="D742" s="6"/>
      <c r="E742" s="6"/>
      <c r="F742" s="6"/>
      <c r="G742" s="6"/>
      <c r="H742" s="6"/>
      <c r="I742" s="2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2"/>
      <c r="B743" s="6"/>
      <c r="C743" s="6"/>
      <c r="D743" s="6"/>
      <c r="E743" s="6"/>
      <c r="F743" s="6"/>
      <c r="G743" s="6"/>
      <c r="H743" s="6"/>
      <c r="I743" s="2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2"/>
      <c r="B744" s="6"/>
      <c r="C744" s="6"/>
      <c r="D744" s="6"/>
      <c r="E744" s="6"/>
      <c r="F744" s="6"/>
      <c r="G744" s="6"/>
      <c r="H744" s="6"/>
      <c r="I744" s="2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2"/>
      <c r="B745" s="6"/>
      <c r="C745" s="6"/>
      <c r="D745" s="6"/>
      <c r="E745" s="6"/>
      <c r="F745" s="6"/>
      <c r="G745" s="6"/>
      <c r="H745" s="6"/>
      <c r="I745" s="2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2"/>
      <c r="B746" s="6"/>
      <c r="C746" s="6"/>
      <c r="D746" s="6"/>
      <c r="E746" s="6"/>
      <c r="F746" s="6"/>
      <c r="G746" s="6"/>
      <c r="H746" s="6"/>
      <c r="I746" s="2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2"/>
      <c r="B747" s="6"/>
      <c r="C747" s="6"/>
      <c r="D747" s="6"/>
      <c r="E747" s="6"/>
      <c r="F747" s="6"/>
      <c r="G747" s="6"/>
      <c r="H747" s="6"/>
      <c r="I747" s="2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2"/>
      <c r="B748" s="6"/>
      <c r="C748" s="6"/>
      <c r="D748" s="6"/>
      <c r="E748" s="6"/>
      <c r="F748" s="6"/>
      <c r="G748" s="6"/>
      <c r="H748" s="6"/>
      <c r="I748" s="2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2"/>
      <c r="B749" s="6"/>
      <c r="C749" s="6"/>
      <c r="D749" s="6"/>
      <c r="E749" s="6"/>
      <c r="F749" s="6"/>
      <c r="G749" s="6"/>
      <c r="H749" s="6"/>
      <c r="I749" s="2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2"/>
      <c r="B750" s="6"/>
      <c r="C750" s="6"/>
      <c r="D750" s="6"/>
      <c r="E750" s="6"/>
      <c r="F750" s="6"/>
      <c r="G750" s="6"/>
      <c r="H750" s="6"/>
      <c r="I750" s="2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2"/>
      <c r="B751" s="6"/>
      <c r="C751" s="6"/>
      <c r="D751" s="6"/>
      <c r="E751" s="6"/>
      <c r="F751" s="6"/>
      <c r="G751" s="6"/>
      <c r="H751" s="6"/>
      <c r="I751" s="2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2"/>
      <c r="B752" s="6"/>
      <c r="C752" s="6"/>
      <c r="D752" s="6"/>
      <c r="E752" s="6"/>
      <c r="F752" s="6"/>
      <c r="G752" s="6"/>
      <c r="H752" s="6"/>
      <c r="I752" s="2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2"/>
      <c r="B753" s="6"/>
      <c r="C753" s="6"/>
      <c r="D753" s="6"/>
      <c r="E753" s="6"/>
      <c r="F753" s="6"/>
      <c r="G753" s="6"/>
      <c r="H753" s="6"/>
      <c r="I753" s="2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2"/>
      <c r="B754" s="6"/>
      <c r="C754" s="6"/>
      <c r="D754" s="6"/>
      <c r="E754" s="6"/>
      <c r="F754" s="6"/>
      <c r="G754" s="6"/>
      <c r="H754" s="6"/>
      <c r="I754" s="2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2"/>
      <c r="B755" s="6"/>
      <c r="C755" s="6"/>
      <c r="D755" s="6"/>
      <c r="E755" s="6"/>
      <c r="F755" s="6"/>
      <c r="G755" s="6"/>
      <c r="H755" s="6"/>
      <c r="I755" s="2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2"/>
      <c r="B756" s="6"/>
      <c r="C756" s="6"/>
      <c r="D756" s="6"/>
      <c r="E756" s="6"/>
      <c r="F756" s="6"/>
      <c r="G756" s="6"/>
      <c r="H756" s="6"/>
      <c r="I756" s="2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2"/>
      <c r="B757" s="6"/>
      <c r="C757" s="6"/>
      <c r="D757" s="6"/>
      <c r="E757" s="6"/>
      <c r="F757" s="6"/>
      <c r="G757" s="6"/>
      <c r="H757" s="6"/>
      <c r="I757" s="2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2"/>
      <c r="B758" s="6"/>
      <c r="C758" s="6"/>
      <c r="D758" s="6"/>
      <c r="E758" s="6"/>
      <c r="F758" s="6"/>
      <c r="G758" s="6"/>
      <c r="H758" s="6"/>
      <c r="I758" s="2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2"/>
      <c r="B759" s="6"/>
      <c r="C759" s="6"/>
      <c r="D759" s="6"/>
      <c r="E759" s="6"/>
      <c r="F759" s="6"/>
      <c r="G759" s="6"/>
      <c r="H759" s="6"/>
      <c r="I759" s="2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2"/>
      <c r="B760" s="6"/>
      <c r="C760" s="6"/>
      <c r="D760" s="6"/>
      <c r="E760" s="6"/>
      <c r="F760" s="6"/>
      <c r="G760" s="6"/>
      <c r="H760" s="6"/>
      <c r="I760" s="2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2"/>
      <c r="B761" s="6"/>
      <c r="C761" s="6"/>
      <c r="D761" s="6"/>
      <c r="E761" s="6"/>
      <c r="F761" s="6"/>
      <c r="G761" s="6"/>
      <c r="H761" s="6"/>
      <c r="I761" s="2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2"/>
      <c r="B762" s="6"/>
      <c r="C762" s="6"/>
      <c r="D762" s="6"/>
      <c r="E762" s="6"/>
      <c r="F762" s="6"/>
      <c r="G762" s="6"/>
      <c r="H762" s="6"/>
      <c r="I762" s="2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2"/>
      <c r="B763" s="6"/>
      <c r="C763" s="6"/>
      <c r="D763" s="6"/>
      <c r="E763" s="6"/>
      <c r="F763" s="6"/>
      <c r="G763" s="6"/>
      <c r="H763" s="6"/>
      <c r="I763" s="2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2"/>
      <c r="B764" s="6"/>
      <c r="C764" s="6"/>
      <c r="D764" s="6"/>
      <c r="E764" s="6"/>
      <c r="F764" s="6"/>
      <c r="G764" s="6"/>
      <c r="H764" s="6"/>
      <c r="I764" s="2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2"/>
      <c r="B765" s="6"/>
      <c r="C765" s="6"/>
      <c r="D765" s="6"/>
      <c r="E765" s="6"/>
      <c r="F765" s="6"/>
      <c r="G765" s="6"/>
      <c r="H765" s="6"/>
      <c r="I765" s="2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2"/>
      <c r="B766" s="6"/>
      <c r="C766" s="6"/>
      <c r="D766" s="6"/>
      <c r="E766" s="6"/>
      <c r="F766" s="6"/>
      <c r="G766" s="6"/>
      <c r="H766" s="6"/>
      <c r="I766" s="2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2"/>
      <c r="B767" s="6"/>
      <c r="C767" s="6"/>
      <c r="D767" s="6"/>
      <c r="E767" s="6"/>
      <c r="F767" s="6"/>
      <c r="G767" s="6"/>
      <c r="H767" s="6"/>
      <c r="I767" s="2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2"/>
      <c r="B768" s="6"/>
      <c r="C768" s="6"/>
      <c r="D768" s="6"/>
      <c r="E768" s="6"/>
      <c r="F768" s="6"/>
      <c r="G768" s="6"/>
      <c r="H768" s="6"/>
      <c r="I768" s="2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2"/>
      <c r="B769" s="6"/>
      <c r="C769" s="6"/>
      <c r="D769" s="6"/>
      <c r="E769" s="6"/>
      <c r="F769" s="6"/>
      <c r="G769" s="6"/>
      <c r="H769" s="6"/>
      <c r="I769" s="2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2"/>
      <c r="B770" s="6"/>
      <c r="C770" s="6"/>
      <c r="D770" s="6"/>
      <c r="E770" s="6"/>
      <c r="F770" s="6"/>
      <c r="G770" s="6"/>
      <c r="H770" s="6"/>
      <c r="I770" s="2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2"/>
      <c r="B771" s="6"/>
      <c r="C771" s="6"/>
      <c r="D771" s="6"/>
      <c r="E771" s="6"/>
      <c r="F771" s="6"/>
      <c r="G771" s="6"/>
      <c r="H771" s="6"/>
      <c r="I771" s="2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2"/>
      <c r="B772" s="6"/>
      <c r="C772" s="6"/>
      <c r="D772" s="6"/>
      <c r="E772" s="6"/>
      <c r="F772" s="6"/>
      <c r="G772" s="6"/>
      <c r="H772" s="6"/>
      <c r="I772" s="2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2"/>
      <c r="B773" s="6"/>
      <c r="C773" s="6"/>
      <c r="D773" s="6"/>
      <c r="E773" s="6"/>
      <c r="F773" s="6"/>
      <c r="G773" s="6"/>
      <c r="H773" s="6"/>
      <c r="I773" s="2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2"/>
      <c r="B774" s="6"/>
      <c r="C774" s="6"/>
      <c r="D774" s="6"/>
      <c r="E774" s="6"/>
      <c r="F774" s="6"/>
      <c r="G774" s="6"/>
      <c r="H774" s="6"/>
      <c r="I774" s="2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2"/>
      <c r="B775" s="6"/>
      <c r="C775" s="6"/>
      <c r="D775" s="6"/>
      <c r="E775" s="6"/>
      <c r="F775" s="6"/>
      <c r="G775" s="6"/>
      <c r="H775" s="6"/>
      <c r="I775" s="2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2"/>
      <c r="B776" s="6"/>
      <c r="C776" s="6"/>
      <c r="D776" s="6"/>
      <c r="E776" s="6"/>
      <c r="F776" s="6"/>
      <c r="G776" s="6"/>
      <c r="H776" s="6"/>
      <c r="I776" s="2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2"/>
      <c r="B777" s="6"/>
      <c r="C777" s="6"/>
      <c r="D777" s="6"/>
      <c r="E777" s="6"/>
      <c r="F777" s="6"/>
      <c r="G777" s="6"/>
      <c r="H777" s="6"/>
      <c r="I777" s="2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2"/>
      <c r="B778" s="6"/>
      <c r="C778" s="6"/>
      <c r="D778" s="6"/>
      <c r="E778" s="6"/>
      <c r="F778" s="6"/>
      <c r="G778" s="6"/>
      <c r="H778" s="6"/>
      <c r="I778" s="2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2"/>
      <c r="B779" s="6"/>
      <c r="C779" s="6"/>
      <c r="D779" s="6"/>
      <c r="E779" s="6"/>
      <c r="F779" s="6"/>
      <c r="G779" s="6"/>
      <c r="H779" s="6"/>
      <c r="I779" s="2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2"/>
      <c r="B780" s="6"/>
      <c r="C780" s="6"/>
      <c r="D780" s="6"/>
      <c r="E780" s="6"/>
      <c r="F780" s="6"/>
      <c r="G780" s="6"/>
      <c r="H780" s="6"/>
      <c r="I780" s="2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2"/>
      <c r="B781" s="6"/>
      <c r="C781" s="6"/>
      <c r="D781" s="6"/>
      <c r="E781" s="6"/>
      <c r="F781" s="6"/>
      <c r="G781" s="6"/>
      <c r="H781" s="6"/>
      <c r="I781" s="2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2"/>
      <c r="B782" s="6"/>
      <c r="C782" s="6"/>
      <c r="D782" s="6"/>
      <c r="E782" s="6"/>
      <c r="F782" s="6"/>
      <c r="G782" s="6"/>
      <c r="H782" s="6"/>
      <c r="I782" s="2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2"/>
      <c r="B783" s="6"/>
      <c r="C783" s="6"/>
      <c r="D783" s="6"/>
      <c r="E783" s="6"/>
      <c r="F783" s="6"/>
      <c r="G783" s="6"/>
      <c r="H783" s="6"/>
      <c r="I783" s="2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2"/>
      <c r="B784" s="6"/>
      <c r="C784" s="6"/>
      <c r="D784" s="6"/>
      <c r="E784" s="6"/>
      <c r="F784" s="6"/>
      <c r="G784" s="6"/>
      <c r="H784" s="6"/>
      <c r="I784" s="2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2"/>
      <c r="B785" s="6"/>
      <c r="C785" s="6"/>
      <c r="D785" s="6"/>
      <c r="E785" s="6"/>
      <c r="F785" s="6"/>
      <c r="G785" s="6"/>
      <c r="H785" s="6"/>
      <c r="I785" s="2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2"/>
      <c r="B786" s="6"/>
      <c r="C786" s="6"/>
      <c r="D786" s="6"/>
      <c r="E786" s="6"/>
      <c r="F786" s="6"/>
      <c r="G786" s="6"/>
      <c r="H786" s="6"/>
      <c r="I786" s="2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2"/>
      <c r="B787" s="6"/>
      <c r="C787" s="6"/>
      <c r="D787" s="6"/>
      <c r="E787" s="6"/>
      <c r="F787" s="6"/>
      <c r="G787" s="6"/>
      <c r="H787" s="6"/>
      <c r="I787" s="2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2"/>
      <c r="B788" s="6"/>
      <c r="C788" s="6"/>
      <c r="D788" s="6"/>
      <c r="E788" s="6"/>
      <c r="F788" s="6"/>
      <c r="G788" s="6"/>
      <c r="H788" s="6"/>
      <c r="I788" s="2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2"/>
      <c r="B789" s="6"/>
      <c r="C789" s="6"/>
      <c r="D789" s="6"/>
      <c r="E789" s="6"/>
      <c r="F789" s="6"/>
      <c r="G789" s="6"/>
      <c r="H789" s="6"/>
      <c r="I789" s="2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2"/>
      <c r="B790" s="6"/>
      <c r="C790" s="6"/>
      <c r="D790" s="6"/>
      <c r="E790" s="6"/>
      <c r="F790" s="6"/>
      <c r="G790" s="6"/>
      <c r="H790" s="6"/>
      <c r="I790" s="2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2"/>
      <c r="B791" s="6"/>
      <c r="C791" s="6"/>
      <c r="D791" s="6"/>
      <c r="E791" s="6"/>
      <c r="F791" s="6"/>
      <c r="G791" s="6"/>
      <c r="H791" s="6"/>
      <c r="I791" s="2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2"/>
      <c r="B792" s="6"/>
      <c r="C792" s="6"/>
      <c r="D792" s="6"/>
      <c r="E792" s="6"/>
      <c r="F792" s="6"/>
      <c r="G792" s="6"/>
      <c r="H792" s="6"/>
      <c r="I792" s="2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2"/>
      <c r="B793" s="6"/>
      <c r="C793" s="6"/>
      <c r="D793" s="6"/>
      <c r="E793" s="6"/>
      <c r="F793" s="6"/>
      <c r="G793" s="6"/>
      <c r="H793" s="6"/>
      <c r="I793" s="2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2"/>
      <c r="B794" s="6"/>
      <c r="C794" s="6"/>
      <c r="D794" s="6"/>
      <c r="E794" s="6"/>
      <c r="F794" s="6"/>
      <c r="G794" s="6"/>
      <c r="H794" s="6"/>
      <c r="I794" s="2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2"/>
      <c r="B795" s="6"/>
      <c r="C795" s="6"/>
      <c r="D795" s="6"/>
      <c r="E795" s="6"/>
      <c r="F795" s="6"/>
      <c r="G795" s="6"/>
      <c r="H795" s="6"/>
      <c r="I795" s="2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2"/>
      <c r="B796" s="6"/>
      <c r="C796" s="6"/>
      <c r="D796" s="6"/>
      <c r="E796" s="6"/>
      <c r="F796" s="6"/>
      <c r="G796" s="6"/>
      <c r="H796" s="6"/>
      <c r="I796" s="2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2"/>
      <c r="B797" s="6"/>
      <c r="C797" s="6"/>
      <c r="D797" s="6"/>
      <c r="E797" s="6"/>
      <c r="F797" s="6"/>
      <c r="G797" s="6"/>
      <c r="H797" s="6"/>
      <c r="I797" s="2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2"/>
      <c r="B798" s="6"/>
      <c r="C798" s="6"/>
      <c r="D798" s="6"/>
      <c r="E798" s="6"/>
      <c r="F798" s="6"/>
      <c r="G798" s="6"/>
      <c r="H798" s="6"/>
      <c r="I798" s="2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2"/>
      <c r="B799" s="6"/>
      <c r="C799" s="6"/>
      <c r="D799" s="6"/>
      <c r="E799" s="6"/>
      <c r="F799" s="6"/>
      <c r="G799" s="6"/>
      <c r="H799" s="6"/>
      <c r="I799" s="2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2"/>
      <c r="B800" s="6"/>
      <c r="C800" s="6"/>
      <c r="D800" s="6"/>
      <c r="E800" s="6"/>
      <c r="F800" s="6"/>
      <c r="G800" s="6"/>
      <c r="H800" s="6"/>
      <c r="I800" s="2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2"/>
      <c r="B801" s="6"/>
      <c r="C801" s="6"/>
      <c r="D801" s="6"/>
      <c r="E801" s="6"/>
      <c r="F801" s="6"/>
      <c r="G801" s="6"/>
      <c r="H801" s="6"/>
      <c r="I801" s="2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2"/>
      <c r="B802" s="6"/>
      <c r="C802" s="6"/>
      <c r="D802" s="6"/>
      <c r="E802" s="6"/>
      <c r="F802" s="6"/>
      <c r="G802" s="6"/>
      <c r="H802" s="6"/>
      <c r="I802" s="2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2"/>
      <c r="B803" s="6"/>
      <c r="C803" s="6"/>
      <c r="D803" s="6"/>
      <c r="E803" s="6"/>
      <c r="F803" s="6"/>
      <c r="G803" s="6"/>
      <c r="H803" s="6"/>
      <c r="I803" s="2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2"/>
      <c r="B804" s="6"/>
      <c r="C804" s="6"/>
      <c r="D804" s="6"/>
      <c r="E804" s="6"/>
      <c r="F804" s="6"/>
      <c r="G804" s="6"/>
      <c r="H804" s="6"/>
      <c r="I804" s="2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2"/>
      <c r="B805" s="6"/>
      <c r="C805" s="6"/>
      <c r="D805" s="6"/>
      <c r="E805" s="6"/>
      <c r="F805" s="6"/>
      <c r="G805" s="6"/>
      <c r="H805" s="6"/>
      <c r="I805" s="2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2"/>
      <c r="B806" s="6"/>
      <c r="C806" s="6"/>
      <c r="D806" s="6"/>
      <c r="E806" s="6"/>
      <c r="F806" s="6"/>
      <c r="G806" s="6"/>
      <c r="H806" s="6"/>
      <c r="I806" s="2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2"/>
      <c r="B807" s="6"/>
      <c r="C807" s="6"/>
      <c r="D807" s="6"/>
      <c r="E807" s="6"/>
      <c r="F807" s="6"/>
      <c r="G807" s="6"/>
      <c r="H807" s="6"/>
      <c r="I807" s="2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2"/>
      <c r="B808" s="6"/>
      <c r="C808" s="6"/>
      <c r="D808" s="6"/>
      <c r="E808" s="6"/>
      <c r="F808" s="6"/>
      <c r="G808" s="6"/>
      <c r="H808" s="6"/>
      <c r="I808" s="2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2"/>
      <c r="B809" s="6"/>
      <c r="C809" s="6"/>
      <c r="D809" s="6"/>
      <c r="E809" s="6"/>
      <c r="F809" s="6"/>
      <c r="G809" s="6"/>
      <c r="H809" s="6"/>
      <c r="I809" s="2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2"/>
      <c r="B810" s="6"/>
      <c r="C810" s="6"/>
      <c r="D810" s="6"/>
      <c r="E810" s="6"/>
      <c r="F810" s="6"/>
      <c r="G810" s="6"/>
      <c r="H810" s="6"/>
      <c r="I810" s="2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2"/>
      <c r="B811" s="6"/>
      <c r="C811" s="6"/>
      <c r="D811" s="6"/>
      <c r="E811" s="6"/>
      <c r="F811" s="6"/>
      <c r="G811" s="6"/>
      <c r="H811" s="6"/>
      <c r="I811" s="2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2"/>
      <c r="B812" s="6"/>
      <c r="C812" s="6"/>
      <c r="D812" s="6"/>
      <c r="E812" s="6"/>
      <c r="F812" s="6"/>
      <c r="G812" s="6"/>
      <c r="H812" s="6"/>
      <c r="I812" s="2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2"/>
      <c r="B813" s="6"/>
      <c r="C813" s="6"/>
      <c r="D813" s="6"/>
      <c r="E813" s="6"/>
      <c r="F813" s="6"/>
      <c r="G813" s="6"/>
      <c r="H813" s="6"/>
      <c r="I813" s="2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2"/>
      <c r="B814" s="6"/>
      <c r="C814" s="6"/>
      <c r="D814" s="6"/>
      <c r="E814" s="6"/>
      <c r="F814" s="6"/>
      <c r="G814" s="6"/>
      <c r="H814" s="6"/>
      <c r="I814" s="2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2"/>
      <c r="B815" s="6"/>
      <c r="C815" s="6"/>
      <c r="D815" s="6"/>
      <c r="E815" s="6"/>
      <c r="F815" s="6"/>
      <c r="G815" s="6"/>
      <c r="H815" s="6"/>
      <c r="I815" s="2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2"/>
      <c r="B816" s="6"/>
      <c r="C816" s="6"/>
      <c r="D816" s="6"/>
      <c r="E816" s="6"/>
      <c r="F816" s="6"/>
      <c r="G816" s="6"/>
      <c r="H816" s="6"/>
      <c r="I816" s="2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2"/>
      <c r="B817" s="6"/>
      <c r="C817" s="6"/>
      <c r="D817" s="6"/>
      <c r="E817" s="6"/>
      <c r="F817" s="6"/>
      <c r="G817" s="6"/>
      <c r="H817" s="6"/>
      <c r="I817" s="2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2"/>
      <c r="B818" s="6"/>
      <c r="C818" s="6"/>
      <c r="D818" s="6"/>
      <c r="E818" s="6"/>
      <c r="F818" s="6"/>
      <c r="G818" s="6"/>
      <c r="H818" s="6"/>
      <c r="I818" s="2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2"/>
      <c r="B819" s="6"/>
      <c r="C819" s="6"/>
      <c r="D819" s="6"/>
      <c r="E819" s="6"/>
      <c r="F819" s="6"/>
      <c r="G819" s="6"/>
      <c r="H819" s="6"/>
      <c r="I819" s="2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2"/>
      <c r="B820" s="6"/>
      <c r="C820" s="6"/>
      <c r="D820" s="6"/>
      <c r="E820" s="6"/>
      <c r="F820" s="6"/>
      <c r="G820" s="6"/>
      <c r="H820" s="6"/>
      <c r="I820" s="2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2"/>
      <c r="B821" s="6"/>
      <c r="C821" s="6"/>
      <c r="D821" s="6"/>
      <c r="E821" s="6"/>
      <c r="F821" s="6"/>
      <c r="G821" s="6"/>
      <c r="H821" s="6"/>
      <c r="I821" s="2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2"/>
      <c r="B822" s="6"/>
      <c r="C822" s="6"/>
      <c r="D822" s="6"/>
      <c r="E822" s="6"/>
      <c r="F822" s="6"/>
      <c r="G822" s="6"/>
      <c r="H822" s="6"/>
      <c r="I822" s="2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2"/>
      <c r="B823" s="6"/>
      <c r="C823" s="6"/>
      <c r="D823" s="6"/>
      <c r="E823" s="6"/>
      <c r="F823" s="6"/>
      <c r="G823" s="6"/>
      <c r="H823" s="6"/>
      <c r="I823" s="2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2"/>
      <c r="B824" s="6"/>
      <c r="C824" s="6"/>
      <c r="D824" s="6"/>
      <c r="E824" s="6"/>
      <c r="F824" s="6"/>
      <c r="G824" s="6"/>
      <c r="H824" s="6"/>
      <c r="I824" s="2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2"/>
      <c r="B825" s="6"/>
      <c r="C825" s="6"/>
      <c r="D825" s="6"/>
      <c r="E825" s="6"/>
      <c r="F825" s="6"/>
      <c r="G825" s="6"/>
      <c r="H825" s="6"/>
      <c r="I825" s="2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2"/>
      <c r="B826" s="6"/>
      <c r="C826" s="6"/>
      <c r="D826" s="6"/>
      <c r="E826" s="6"/>
      <c r="F826" s="6"/>
      <c r="G826" s="6"/>
      <c r="H826" s="6"/>
      <c r="I826" s="2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2"/>
      <c r="B827" s="6"/>
      <c r="C827" s="6"/>
      <c r="D827" s="6"/>
      <c r="E827" s="6"/>
      <c r="F827" s="6"/>
      <c r="G827" s="6"/>
      <c r="H827" s="6"/>
      <c r="I827" s="2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2"/>
      <c r="B828" s="6"/>
      <c r="C828" s="6"/>
      <c r="D828" s="6"/>
      <c r="E828" s="6"/>
      <c r="F828" s="6"/>
      <c r="G828" s="6"/>
      <c r="H828" s="6"/>
      <c r="I828" s="2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2"/>
      <c r="B829" s="6"/>
      <c r="C829" s="6"/>
      <c r="D829" s="6"/>
      <c r="E829" s="6"/>
      <c r="F829" s="6"/>
      <c r="G829" s="6"/>
      <c r="H829" s="6"/>
      <c r="I829" s="2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2"/>
      <c r="B830" s="6"/>
      <c r="C830" s="6"/>
      <c r="D830" s="6"/>
      <c r="E830" s="6"/>
      <c r="F830" s="6"/>
      <c r="G830" s="6"/>
      <c r="H830" s="6"/>
      <c r="I830" s="2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2"/>
      <c r="B831" s="6"/>
      <c r="C831" s="6"/>
      <c r="D831" s="6"/>
      <c r="E831" s="6"/>
      <c r="F831" s="6"/>
      <c r="G831" s="6"/>
      <c r="H831" s="6"/>
      <c r="I831" s="2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2"/>
      <c r="B832" s="6"/>
      <c r="C832" s="6"/>
      <c r="D832" s="6"/>
      <c r="E832" s="6"/>
      <c r="F832" s="6"/>
      <c r="G832" s="6"/>
      <c r="H832" s="6"/>
      <c r="I832" s="2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2"/>
      <c r="B833" s="6"/>
      <c r="C833" s="6"/>
      <c r="D833" s="6"/>
      <c r="E833" s="6"/>
      <c r="F833" s="6"/>
      <c r="G833" s="6"/>
      <c r="H833" s="6"/>
      <c r="I833" s="2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2"/>
      <c r="B834" s="6"/>
      <c r="C834" s="6"/>
      <c r="D834" s="6"/>
      <c r="E834" s="6"/>
      <c r="F834" s="6"/>
      <c r="G834" s="6"/>
      <c r="H834" s="6"/>
      <c r="I834" s="2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2"/>
      <c r="B835" s="6"/>
      <c r="C835" s="6"/>
      <c r="D835" s="6"/>
      <c r="E835" s="6"/>
      <c r="F835" s="6"/>
      <c r="G835" s="6"/>
      <c r="H835" s="6"/>
      <c r="I835" s="2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2"/>
      <c r="B836" s="6"/>
      <c r="C836" s="6"/>
      <c r="D836" s="6"/>
      <c r="E836" s="6"/>
      <c r="F836" s="6"/>
      <c r="G836" s="6"/>
      <c r="H836" s="6"/>
      <c r="I836" s="2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2"/>
      <c r="B837" s="6"/>
      <c r="C837" s="6"/>
      <c r="D837" s="6"/>
      <c r="E837" s="6"/>
      <c r="F837" s="6"/>
      <c r="G837" s="6"/>
      <c r="H837" s="6"/>
      <c r="I837" s="2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2"/>
      <c r="B838" s="6"/>
      <c r="C838" s="6"/>
      <c r="D838" s="6"/>
      <c r="E838" s="6"/>
      <c r="F838" s="6"/>
      <c r="G838" s="6"/>
      <c r="H838" s="6"/>
      <c r="I838" s="2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2"/>
      <c r="B839" s="6"/>
      <c r="C839" s="6"/>
      <c r="D839" s="6"/>
      <c r="E839" s="6"/>
      <c r="F839" s="6"/>
      <c r="G839" s="6"/>
      <c r="H839" s="6"/>
      <c r="I839" s="2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2"/>
      <c r="B840" s="6"/>
      <c r="C840" s="6"/>
      <c r="D840" s="6"/>
      <c r="E840" s="6"/>
      <c r="F840" s="6"/>
      <c r="G840" s="6"/>
      <c r="H840" s="6"/>
      <c r="I840" s="2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2"/>
      <c r="B841" s="6"/>
      <c r="C841" s="6"/>
      <c r="D841" s="6"/>
      <c r="E841" s="6"/>
      <c r="F841" s="6"/>
      <c r="G841" s="6"/>
      <c r="H841" s="6"/>
      <c r="I841" s="2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2"/>
      <c r="B842" s="6"/>
      <c r="C842" s="6"/>
      <c r="D842" s="6"/>
      <c r="E842" s="6"/>
      <c r="F842" s="6"/>
      <c r="G842" s="6"/>
      <c r="H842" s="6"/>
      <c r="I842" s="2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2"/>
      <c r="B843" s="6"/>
      <c r="C843" s="6"/>
      <c r="D843" s="6"/>
      <c r="E843" s="6"/>
      <c r="F843" s="6"/>
      <c r="G843" s="6"/>
      <c r="H843" s="6"/>
      <c r="I843" s="2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2"/>
      <c r="B844" s="6"/>
      <c r="C844" s="6"/>
      <c r="D844" s="6"/>
      <c r="E844" s="6"/>
      <c r="F844" s="6"/>
      <c r="G844" s="6"/>
      <c r="H844" s="6"/>
      <c r="I844" s="2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2"/>
      <c r="B845" s="6"/>
      <c r="C845" s="6"/>
      <c r="D845" s="6"/>
      <c r="E845" s="6"/>
      <c r="F845" s="6"/>
      <c r="G845" s="6"/>
      <c r="H845" s="6"/>
      <c r="I845" s="2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2"/>
      <c r="B846" s="6"/>
      <c r="C846" s="6"/>
      <c r="D846" s="6"/>
      <c r="E846" s="6"/>
      <c r="F846" s="6"/>
      <c r="G846" s="6"/>
      <c r="H846" s="6"/>
      <c r="I846" s="2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2"/>
      <c r="B847" s="6"/>
      <c r="C847" s="6"/>
      <c r="D847" s="6"/>
      <c r="E847" s="6"/>
      <c r="F847" s="6"/>
      <c r="G847" s="6"/>
      <c r="H847" s="6"/>
      <c r="I847" s="2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2"/>
      <c r="B848" s="6"/>
      <c r="C848" s="6"/>
      <c r="D848" s="6"/>
      <c r="E848" s="6"/>
      <c r="F848" s="6"/>
      <c r="G848" s="6"/>
      <c r="H848" s="6"/>
      <c r="I848" s="2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2"/>
      <c r="B849" s="6"/>
      <c r="C849" s="6"/>
      <c r="D849" s="6"/>
      <c r="E849" s="6"/>
      <c r="F849" s="6"/>
      <c r="G849" s="6"/>
      <c r="H849" s="6"/>
      <c r="I849" s="2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2"/>
      <c r="B850" s="6"/>
      <c r="C850" s="6"/>
      <c r="D850" s="6"/>
      <c r="E850" s="6"/>
      <c r="F850" s="6"/>
      <c r="G850" s="6"/>
      <c r="H850" s="6"/>
      <c r="I850" s="2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2"/>
      <c r="B851" s="6"/>
      <c r="C851" s="6"/>
      <c r="D851" s="6"/>
      <c r="E851" s="6"/>
      <c r="F851" s="6"/>
      <c r="G851" s="6"/>
      <c r="H851" s="6"/>
      <c r="I851" s="2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2"/>
      <c r="B852" s="6"/>
      <c r="C852" s="6"/>
      <c r="D852" s="6"/>
      <c r="E852" s="6"/>
      <c r="F852" s="6"/>
      <c r="G852" s="6"/>
      <c r="H852" s="6"/>
      <c r="I852" s="2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2"/>
      <c r="B853" s="6"/>
      <c r="C853" s="6"/>
      <c r="D853" s="6"/>
      <c r="E853" s="6"/>
      <c r="F853" s="6"/>
      <c r="G853" s="6"/>
      <c r="H853" s="6"/>
      <c r="I853" s="2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2"/>
      <c r="B854" s="6"/>
      <c r="C854" s="6"/>
      <c r="D854" s="6"/>
      <c r="E854" s="6"/>
      <c r="F854" s="6"/>
      <c r="G854" s="6"/>
      <c r="H854" s="6"/>
      <c r="I854" s="2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2"/>
      <c r="B855" s="6"/>
      <c r="C855" s="6"/>
      <c r="D855" s="6"/>
      <c r="E855" s="6"/>
      <c r="F855" s="6"/>
      <c r="G855" s="6"/>
      <c r="H855" s="6"/>
      <c r="I855" s="2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2"/>
      <c r="B856" s="6"/>
      <c r="C856" s="6"/>
      <c r="D856" s="6"/>
      <c r="E856" s="6"/>
      <c r="F856" s="6"/>
      <c r="G856" s="6"/>
      <c r="H856" s="6"/>
      <c r="I856" s="2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2"/>
      <c r="B857" s="6"/>
      <c r="C857" s="6"/>
      <c r="D857" s="6"/>
      <c r="E857" s="6"/>
      <c r="F857" s="6"/>
      <c r="G857" s="6"/>
      <c r="H857" s="6"/>
      <c r="I857" s="2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2"/>
      <c r="B858" s="6"/>
      <c r="C858" s="6"/>
      <c r="D858" s="6"/>
      <c r="E858" s="6"/>
      <c r="F858" s="6"/>
      <c r="G858" s="6"/>
      <c r="H858" s="6"/>
      <c r="I858" s="2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2"/>
      <c r="B859" s="6"/>
      <c r="C859" s="6"/>
      <c r="D859" s="6"/>
      <c r="E859" s="6"/>
      <c r="F859" s="6"/>
      <c r="G859" s="6"/>
      <c r="H859" s="6"/>
      <c r="I859" s="2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2"/>
      <c r="B860" s="6"/>
      <c r="C860" s="6"/>
      <c r="D860" s="6"/>
      <c r="E860" s="6"/>
      <c r="F860" s="6"/>
      <c r="G860" s="6"/>
      <c r="H860" s="6"/>
      <c r="I860" s="2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2"/>
      <c r="B861" s="6"/>
      <c r="C861" s="6"/>
      <c r="D861" s="6"/>
      <c r="E861" s="6"/>
      <c r="F861" s="6"/>
      <c r="G861" s="6"/>
      <c r="H861" s="6"/>
      <c r="I861" s="2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2"/>
      <c r="B862" s="6"/>
      <c r="C862" s="6"/>
      <c r="D862" s="6"/>
      <c r="E862" s="6"/>
      <c r="F862" s="6"/>
      <c r="G862" s="6"/>
      <c r="H862" s="6"/>
      <c r="I862" s="2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2"/>
      <c r="B863" s="6"/>
      <c r="C863" s="6"/>
      <c r="D863" s="6"/>
      <c r="E863" s="6"/>
      <c r="F863" s="6"/>
      <c r="G863" s="6"/>
      <c r="H863" s="6"/>
      <c r="I863" s="2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2"/>
      <c r="B864" s="6"/>
      <c r="C864" s="6"/>
      <c r="D864" s="6"/>
      <c r="E864" s="6"/>
      <c r="F864" s="6"/>
      <c r="G864" s="6"/>
      <c r="H864" s="6"/>
      <c r="I864" s="2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2"/>
      <c r="B865" s="6"/>
      <c r="C865" s="6"/>
      <c r="D865" s="6"/>
      <c r="E865" s="6"/>
      <c r="F865" s="6"/>
      <c r="G865" s="6"/>
      <c r="H865" s="6"/>
      <c r="I865" s="2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2"/>
      <c r="B866" s="6"/>
      <c r="C866" s="6"/>
      <c r="D866" s="6"/>
      <c r="E866" s="6"/>
      <c r="F866" s="6"/>
      <c r="G866" s="6"/>
      <c r="H866" s="6"/>
      <c r="I866" s="2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2"/>
      <c r="B867" s="6"/>
      <c r="C867" s="6"/>
      <c r="D867" s="6"/>
      <c r="E867" s="6"/>
      <c r="F867" s="6"/>
      <c r="G867" s="6"/>
      <c r="H867" s="6"/>
      <c r="I867" s="2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2"/>
      <c r="B868" s="6"/>
      <c r="C868" s="6"/>
      <c r="D868" s="6"/>
      <c r="E868" s="6"/>
      <c r="F868" s="6"/>
      <c r="G868" s="6"/>
      <c r="H868" s="6"/>
      <c r="I868" s="2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2"/>
      <c r="B869" s="6"/>
      <c r="C869" s="6"/>
      <c r="D869" s="6"/>
      <c r="E869" s="6"/>
      <c r="F869" s="6"/>
      <c r="G869" s="6"/>
      <c r="H869" s="6"/>
      <c r="I869" s="2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2"/>
      <c r="B870" s="6"/>
      <c r="C870" s="6"/>
      <c r="D870" s="6"/>
      <c r="E870" s="6"/>
      <c r="F870" s="6"/>
      <c r="G870" s="6"/>
      <c r="H870" s="6"/>
      <c r="I870" s="2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2"/>
      <c r="B871" s="6"/>
      <c r="C871" s="6"/>
      <c r="D871" s="6"/>
      <c r="E871" s="6"/>
      <c r="F871" s="6"/>
      <c r="G871" s="6"/>
      <c r="H871" s="6"/>
      <c r="I871" s="2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2"/>
      <c r="B872" s="6"/>
      <c r="C872" s="6"/>
      <c r="D872" s="6"/>
      <c r="E872" s="6"/>
      <c r="F872" s="6"/>
      <c r="G872" s="6"/>
      <c r="H872" s="6"/>
      <c r="I872" s="2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2"/>
      <c r="B873" s="6"/>
      <c r="C873" s="6"/>
      <c r="D873" s="6"/>
      <c r="E873" s="6"/>
      <c r="F873" s="6"/>
      <c r="G873" s="6"/>
      <c r="H873" s="6"/>
      <c r="I873" s="2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2"/>
      <c r="B874" s="6"/>
      <c r="C874" s="6"/>
      <c r="D874" s="6"/>
      <c r="E874" s="6"/>
      <c r="F874" s="6"/>
      <c r="G874" s="6"/>
      <c r="H874" s="6"/>
      <c r="I874" s="2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2"/>
      <c r="B875" s="6"/>
      <c r="C875" s="6"/>
      <c r="D875" s="6"/>
      <c r="E875" s="6"/>
      <c r="F875" s="6"/>
      <c r="G875" s="6"/>
      <c r="H875" s="6"/>
      <c r="I875" s="2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2"/>
      <c r="B876" s="6"/>
      <c r="C876" s="6"/>
      <c r="D876" s="6"/>
      <c r="E876" s="6"/>
      <c r="F876" s="6"/>
      <c r="G876" s="6"/>
      <c r="H876" s="6"/>
      <c r="I876" s="2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2"/>
      <c r="B877" s="6"/>
      <c r="C877" s="6"/>
      <c r="D877" s="6"/>
      <c r="E877" s="6"/>
      <c r="F877" s="6"/>
      <c r="G877" s="6"/>
      <c r="H877" s="6"/>
      <c r="I877" s="2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2"/>
      <c r="B878" s="6"/>
      <c r="C878" s="6"/>
      <c r="D878" s="6"/>
      <c r="E878" s="6"/>
      <c r="F878" s="6"/>
      <c r="G878" s="6"/>
      <c r="H878" s="6"/>
      <c r="I878" s="2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2"/>
      <c r="B879" s="6"/>
      <c r="C879" s="6"/>
      <c r="D879" s="6"/>
      <c r="E879" s="6"/>
      <c r="F879" s="6"/>
      <c r="G879" s="6"/>
      <c r="H879" s="6"/>
      <c r="I879" s="2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2"/>
      <c r="B880" s="6"/>
      <c r="C880" s="6"/>
      <c r="D880" s="6"/>
      <c r="E880" s="6"/>
      <c r="F880" s="6"/>
      <c r="G880" s="6"/>
      <c r="H880" s="6"/>
      <c r="I880" s="2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2"/>
      <c r="B881" s="6"/>
      <c r="C881" s="6"/>
      <c r="D881" s="6"/>
      <c r="E881" s="6"/>
      <c r="F881" s="6"/>
      <c r="G881" s="6"/>
      <c r="H881" s="6"/>
      <c r="I881" s="2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2"/>
      <c r="B882" s="6"/>
      <c r="C882" s="6"/>
      <c r="D882" s="6"/>
      <c r="E882" s="6"/>
      <c r="F882" s="6"/>
      <c r="G882" s="6"/>
      <c r="H882" s="6"/>
      <c r="I882" s="2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2"/>
      <c r="B883" s="6"/>
      <c r="C883" s="6"/>
      <c r="D883" s="6"/>
      <c r="E883" s="6"/>
      <c r="F883" s="6"/>
      <c r="G883" s="6"/>
      <c r="H883" s="6"/>
      <c r="I883" s="2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2"/>
      <c r="B884" s="6"/>
      <c r="C884" s="6"/>
      <c r="D884" s="6"/>
      <c r="E884" s="6"/>
      <c r="F884" s="6"/>
      <c r="G884" s="6"/>
      <c r="H884" s="6"/>
      <c r="I884" s="2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2"/>
      <c r="B885" s="6"/>
      <c r="C885" s="6"/>
      <c r="D885" s="6"/>
      <c r="E885" s="6"/>
      <c r="F885" s="6"/>
      <c r="G885" s="6"/>
      <c r="H885" s="6"/>
      <c r="I885" s="2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2"/>
      <c r="B886" s="6"/>
      <c r="C886" s="6"/>
      <c r="D886" s="6"/>
      <c r="E886" s="6"/>
      <c r="F886" s="6"/>
      <c r="G886" s="6"/>
      <c r="H886" s="6"/>
      <c r="I886" s="2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2"/>
      <c r="B887" s="6"/>
      <c r="C887" s="6"/>
      <c r="D887" s="6"/>
      <c r="E887" s="6"/>
      <c r="F887" s="6"/>
      <c r="G887" s="6"/>
      <c r="H887" s="6"/>
      <c r="I887" s="2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2"/>
      <c r="B888" s="6"/>
      <c r="C888" s="6"/>
      <c r="D888" s="6"/>
      <c r="E888" s="6"/>
      <c r="F888" s="6"/>
      <c r="G888" s="6"/>
      <c r="H888" s="6"/>
      <c r="I888" s="2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2"/>
      <c r="B889" s="6"/>
      <c r="C889" s="6"/>
      <c r="D889" s="6"/>
      <c r="E889" s="6"/>
      <c r="F889" s="6"/>
      <c r="G889" s="6"/>
      <c r="H889" s="6"/>
      <c r="I889" s="2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2"/>
      <c r="B890" s="6"/>
      <c r="C890" s="6"/>
      <c r="D890" s="6"/>
      <c r="E890" s="6"/>
      <c r="F890" s="6"/>
      <c r="G890" s="6"/>
      <c r="H890" s="6"/>
      <c r="I890" s="2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2"/>
      <c r="B891" s="6"/>
      <c r="C891" s="6"/>
      <c r="D891" s="6"/>
      <c r="E891" s="6"/>
      <c r="F891" s="6"/>
      <c r="G891" s="6"/>
      <c r="H891" s="6"/>
      <c r="I891" s="2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2"/>
      <c r="B892" s="6"/>
      <c r="C892" s="6"/>
      <c r="D892" s="6"/>
      <c r="E892" s="6"/>
      <c r="F892" s="6"/>
      <c r="G892" s="6"/>
      <c r="H892" s="6"/>
      <c r="I892" s="2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2"/>
      <c r="B893" s="6"/>
      <c r="C893" s="6"/>
      <c r="D893" s="6"/>
      <c r="E893" s="6"/>
      <c r="F893" s="6"/>
      <c r="G893" s="6"/>
      <c r="H893" s="6"/>
      <c r="I893" s="2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2"/>
      <c r="B894" s="6"/>
      <c r="C894" s="6"/>
      <c r="D894" s="6"/>
      <c r="E894" s="6"/>
      <c r="F894" s="6"/>
      <c r="G894" s="6"/>
      <c r="H894" s="6"/>
      <c r="I894" s="2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2"/>
      <c r="B895" s="6"/>
      <c r="C895" s="6"/>
      <c r="D895" s="6"/>
      <c r="E895" s="6"/>
      <c r="F895" s="6"/>
      <c r="G895" s="6"/>
      <c r="H895" s="6"/>
      <c r="I895" s="2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2"/>
      <c r="B896" s="6"/>
      <c r="C896" s="6"/>
      <c r="D896" s="6"/>
      <c r="E896" s="6"/>
      <c r="F896" s="6"/>
      <c r="G896" s="6"/>
      <c r="H896" s="6"/>
      <c r="I896" s="2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2"/>
      <c r="B897" s="6"/>
      <c r="C897" s="6"/>
      <c r="D897" s="6"/>
      <c r="E897" s="6"/>
      <c r="F897" s="6"/>
      <c r="G897" s="6"/>
      <c r="H897" s="6"/>
      <c r="I897" s="2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2"/>
      <c r="B898" s="6"/>
      <c r="C898" s="6"/>
      <c r="D898" s="6"/>
      <c r="E898" s="6"/>
      <c r="F898" s="6"/>
      <c r="G898" s="6"/>
      <c r="H898" s="6"/>
      <c r="I898" s="2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2"/>
      <c r="B899" s="6"/>
      <c r="C899" s="6"/>
      <c r="D899" s="6"/>
      <c r="E899" s="6"/>
      <c r="F899" s="6"/>
      <c r="G899" s="6"/>
      <c r="H899" s="6"/>
      <c r="I899" s="2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2"/>
      <c r="B900" s="6"/>
      <c r="C900" s="6"/>
      <c r="D900" s="6"/>
      <c r="E900" s="6"/>
      <c r="F900" s="6"/>
      <c r="G900" s="6"/>
      <c r="H900" s="6"/>
      <c r="I900" s="2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2"/>
      <c r="B901" s="6"/>
      <c r="C901" s="6"/>
      <c r="D901" s="6"/>
      <c r="E901" s="6"/>
      <c r="F901" s="6"/>
      <c r="G901" s="6"/>
      <c r="H901" s="6"/>
      <c r="I901" s="2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2"/>
      <c r="B902" s="6"/>
      <c r="C902" s="6"/>
      <c r="D902" s="6"/>
      <c r="E902" s="6"/>
      <c r="F902" s="6"/>
      <c r="G902" s="6"/>
      <c r="H902" s="6"/>
      <c r="I902" s="2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2"/>
      <c r="B903" s="6"/>
      <c r="C903" s="6"/>
      <c r="D903" s="6"/>
      <c r="E903" s="6"/>
      <c r="F903" s="6"/>
      <c r="G903" s="6"/>
      <c r="H903" s="6"/>
      <c r="I903" s="2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2"/>
      <c r="B904" s="6"/>
      <c r="C904" s="6"/>
      <c r="D904" s="6"/>
      <c r="E904" s="6"/>
      <c r="F904" s="6"/>
      <c r="G904" s="6"/>
      <c r="H904" s="6"/>
      <c r="I904" s="2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2"/>
      <c r="B905" s="6"/>
      <c r="C905" s="6"/>
      <c r="D905" s="6"/>
      <c r="E905" s="6"/>
      <c r="F905" s="6"/>
      <c r="G905" s="6"/>
      <c r="H905" s="6"/>
      <c r="I905" s="2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2"/>
      <c r="B906" s="6"/>
      <c r="C906" s="6"/>
      <c r="D906" s="6"/>
      <c r="E906" s="6"/>
      <c r="F906" s="6"/>
      <c r="G906" s="6"/>
      <c r="H906" s="6"/>
      <c r="I906" s="2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2"/>
      <c r="B907" s="6"/>
      <c r="C907" s="6"/>
      <c r="D907" s="6"/>
      <c r="E907" s="6"/>
      <c r="F907" s="6"/>
      <c r="G907" s="6"/>
      <c r="H907" s="6"/>
      <c r="I907" s="2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2"/>
      <c r="B908" s="6"/>
      <c r="C908" s="6"/>
      <c r="D908" s="6"/>
      <c r="E908" s="6"/>
      <c r="F908" s="6"/>
      <c r="G908" s="6"/>
      <c r="H908" s="6"/>
      <c r="I908" s="2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2"/>
      <c r="B909" s="6"/>
      <c r="C909" s="6"/>
      <c r="D909" s="6"/>
      <c r="E909" s="6"/>
      <c r="F909" s="6"/>
      <c r="G909" s="6"/>
      <c r="H909" s="6"/>
      <c r="I909" s="2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2"/>
      <c r="B910" s="6"/>
      <c r="C910" s="6"/>
      <c r="D910" s="6"/>
      <c r="E910" s="6"/>
      <c r="F910" s="6"/>
      <c r="G910" s="6"/>
      <c r="H910" s="6"/>
      <c r="I910" s="2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2"/>
      <c r="B911" s="6"/>
      <c r="C911" s="6"/>
      <c r="D911" s="6"/>
      <c r="E911" s="6"/>
      <c r="F911" s="6"/>
      <c r="G911" s="6"/>
      <c r="H911" s="6"/>
      <c r="I911" s="2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2"/>
      <c r="B912" s="6"/>
      <c r="C912" s="6"/>
      <c r="D912" s="6"/>
      <c r="E912" s="6"/>
      <c r="F912" s="6"/>
      <c r="G912" s="6"/>
      <c r="H912" s="6"/>
      <c r="I912" s="2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2"/>
      <c r="B913" s="6"/>
      <c r="C913" s="6"/>
      <c r="D913" s="6"/>
      <c r="E913" s="6"/>
      <c r="F913" s="6"/>
      <c r="G913" s="6"/>
      <c r="H913" s="6"/>
      <c r="I913" s="2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2"/>
      <c r="B914" s="6"/>
      <c r="C914" s="6"/>
      <c r="D914" s="6"/>
      <c r="E914" s="6"/>
      <c r="F914" s="6"/>
      <c r="G914" s="6"/>
      <c r="H914" s="6"/>
      <c r="I914" s="2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2"/>
      <c r="B915" s="6"/>
      <c r="C915" s="6"/>
      <c r="D915" s="6"/>
      <c r="E915" s="6"/>
      <c r="F915" s="6"/>
      <c r="G915" s="6"/>
      <c r="H915" s="6"/>
      <c r="I915" s="2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2"/>
      <c r="B916" s="6"/>
      <c r="C916" s="6"/>
      <c r="D916" s="6"/>
      <c r="E916" s="6"/>
      <c r="F916" s="6"/>
      <c r="G916" s="6"/>
      <c r="H916" s="6"/>
      <c r="I916" s="2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2"/>
      <c r="B917" s="6"/>
      <c r="C917" s="6"/>
      <c r="D917" s="6"/>
      <c r="E917" s="6"/>
      <c r="F917" s="6"/>
      <c r="G917" s="6"/>
      <c r="H917" s="6"/>
      <c r="I917" s="2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2"/>
      <c r="B918" s="6"/>
      <c r="C918" s="6"/>
      <c r="D918" s="6"/>
      <c r="E918" s="6"/>
      <c r="F918" s="6"/>
      <c r="G918" s="6"/>
      <c r="H918" s="6"/>
      <c r="I918" s="2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2"/>
      <c r="B919" s="6"/>
      <c r="C919" s="6"/>
      <c r="D919" s="6"/>
      <c r="E919" s="6"/>
      <c r="F919" s="6"/>
      <c r="G919" s="6"/>
      <c r="H919" s="6"/>
      <c r="I919" s="2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2"/>
      <c r="B920" s="6"/>
      <c r="C920" s="6"/>
      <c r="D920" s="6"/>
      <c r="E920" s="6"/>
      <c r="F920" s="6"/>
      <c r="G920" s="6"/>
      <c r="H920" s="6"/>
      <c r="I920" s="2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2"/>
      <c r="B921" s="6"/>
      <c r="C921" s="6"/>
      <c r="D921" s="6"/>
      <c r="E921" s="6"/>
      <c r="F921" s="6"/>
      <c r="G921" s="6"/>
      <c r="H921" s="6"/>
      <c r="I921" s="2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2"/>
      <c r="B922" s="6"/>
      <c r="C922" s="6"/>
      <c r="D922" s="6"/>
      <c r="E922" s="6"/>
      <c r="F922" s="6"/>
      <c r="G922" s="6"/>
      <c r="H922" s="6"/>
      <c r="I922" s="2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2"/>
      <c r="B923" s="6"/>
      <c r="C923" s="6"/>
      <c r="D923" s="6"/>
      <c r="E923" s="6"/>
      <c r="F923" s="6"/>
      <c r="G923" s="6"/>
      <c r="H923" s="6"/>
      <c r="I923" s="2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2"/>
      <c r="B924" s="6"/>
      <c r="C924" s="6"/>
      <c r="D924" s="6"/>
      <c r="E924" s="6"/>
      <c r="F924" s="6"/>
      <c r="G924" s="6"/>
      <c r="H924" s="6"/>
      <c r="I924" s="2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2"/>
      <c r="B925" s="6"/>
      <c r="C925" s="6"/>
      <c r="D925" s="6"/>
      <c r="E925" s="6"/>
      <c r="F925" s="6"/>
      <c r="G925" s="6"/>
      <c r="H925" s="6"/>
      <c r="I925" s="2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2"/>
      <c r="B926" s="6"/>
      <c r="C926" s="6"/>
      <c r="D926" s="6"/>
      <c r="E926" s="6"/>
      <c r="F926" s="6"/>
      <c r="G926" s="6"/>
      <c r="H926" s="6"/>
      <c r="I926" s="2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2"/>
      <c r="B927" s="6"/>
      <c r="C927" s="6"/>
      <c r="D927" s="6"/>
      <c r="E927" s="6"/>
      <c r="F927" s="6"/>
      <c r="G927" s="6"/>
      <c r="H927" s="6"/>
      <c r="I927" s="2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2"/>
      <c r="B928" s="6"/>
      <c r="C928" s="6"/>
      <c r="D928" s="6"/>
      <c r="E928" s="6"/>
      <c r="F928" s="6"/>
      <c r="G928" s="6"/>
      <c r="H928" s="6"/>
      <c r="I928" s="2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2"/>
      <c r="B929" s="6"/>
      <c r="C929" s="6"/>
      <c r="D929" s="6"/>
      <c r="E929" s="6"/>
      <c r="F929" s="6"/>
      <c r="G929" s="6"/>
      <c r="H929" s="6"/>
      <c r="I929" s="2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2"/>
      <c r="B930" s="6"/>
      <c r="C930" s="6"/>
      <c r="D930" s="6"/>
      <c r="E930" s="6"/>
      <c r="F930" s="6"/>
      <c r="G930" s="6"/>
      <c r="H930" s="6"/>
      <c r="I930" s="2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2"/>
      <c r="B931" s="6"/>
      <c r="C931" s="6"/>
      <c r="D931" s="6"/>
      <c r="E931" s="6"/>
      <c r="F931" s="6"/>
      <c r="G931" s="6"/>
      <c r="H931" s="6"/>
      <c r="I931" s="2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2"/>
      <c r="B932" s="6"/>
      <c r="C932" s="6"/>
      <c r="D932" s="6"/>
      <c r="E932" s="6"/>
      <c r="F932" s="6"/>
      <c r="G932" s="6"/>
      <c r="H932" s="6"/>
      <c r="I932" s="2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2"/>
      <c r="B933" s="6"/>
      <c r="C933" s="6"/>
      <c r="D933" s="6"/>
      <c r="E933" s="6"/>
      <c r="F933" s="6"/>
      <c r="G933" s="6"/>
      <c r="H933" s="6"/>
      <c r="I933" s="2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2"/>
      <c r="B934" s="6"/>
      <c r="C934" s="6"/>
      <c r="D934" s="6"/>
      <c r="E934" s="6"/>
      <c r="F934" s="6"/>
      <c r="G934" s="6"/>
      <c r="H934" s="6"/>
      <c r="I934" s="2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2"/>
      <c r="B935" s="6"/>
      <c r="C935" s="6"/>
      <c r="D935" s="6"/>
      <c r="E935" s="6"/>
      <c r="F935" s="6"/>
      <c r="G935" s="6"/>
      <c r="H935" s="6"/>
      <c r="I935" s="2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2"/>
      <c r="B936" s="6"/>
      <c r="C936" s="6"/>
      <c r="D936" s="6"/>
      <c r="E936" s="6"/>
      <c r="F936" s="6"/>
      <c r="G936" s="6"/>
      <c r="H936" s="6"/>
      <c r="I936" s="2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2"/>
      <c r="B937" s="6"/>
      <c r="C937" s="6"/>
      <c r="D937" s="6"/>
      <c r="E937" s="6"/>
      <c r="F937" s="6"/>
      <c r="G937" s="6"/>
      <c r="H937" s="6"/>
      <c r="I937" s="2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2"/>
      <c r="B938" s="6"/>
      <c r="C938" s="6"/>
      <c r="D938" s="6"/>
      <c r="E938" s="6"/>
      <c r="F938" s="6"/>
      <c r="G938" s="6"/>
      <c r="H938" s="6"/>
      <c r="I938" s="2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2"/>
      <c r="B939" s="6"/>
      <c r="C939" s="6"/>
      <c r="D939" s="6"/>
      <c r="E939" s="6"/>
      <c r="F939" s="6"/>
      <c r="G939" s="6"/>
      <c r="H939" s="6"/>
      <c r="I939" s="2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2"/>
      <c r="B940" s="6"/>
      <c r="C940" s="6"/>
      <c r="D940" s="6"/>
      <c r="E940" s="6"/>
      <c r="F940" s="6"/>
      <c r="G940" s="6"/>
      <c r="H940" s="6"/>
      <c r="I940" s="2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2"/>
      <c r="B941" s="6"/>
      <c r="C941" s="6"/>
      <c r="D941" s="6"/>
      <c r="E941" s="6"/>
      <c r="F941" s="6"/>
      <c r="G941" s="6"/>
      <c r="H941" s="6"/>
      <c r="I941" s="2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2"/>
      <c r="B942" s="6"/>
      <c r="C942" s="6"/>
      <c r="D942" s="6"/>
      <c r="E942" s="6"/>
      <c r="F942" s="6"/>
      <c r="G942" s="6"/>
      <c r="H942" s="6"/>
      <c r="I942" s="2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2"/>
      <c r="B943" s="6"/>
      <c r="C943" s="6"/>
      <c r="D943" s="6"/>
      <c r="E943" s="6"/>
      <c r="F943" s="6"/>
      <c r="G943" s="6"/>
      <c r="H943" s="6"/>
      <c r="I943" s="2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2"/>
      <c r="B944" s="6"/>
      <c r="C944" s="6"/>
      <c r="D944" s="6"/>
      <c r="E944" s="6"/>
      <c r="F944" s="6"/>
      <c r="G944" s="6"/>
      <c r="H944" s="6"/>
      <c r="I944" s="2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2"/>
      <c r="B945" s="6"/>
      <c r="C945" s="6"/>
      <c r="D945" s="6"/>
      <c r="E945" s="6"/>
      <c r="F945" s="6"/>
      <c r="G945" s="6"/>
      <c r="H945" s="6"/>
      <c r="I945" s="2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2"/>
      <c r="B946" s="6"/>
      <c r="C946" s="6"/>
      <c r="D946" s="6"/>
      <c r="E946" s="6"/>
      <c r="F946" s="6"/>
      <c r="G946" s="6"/>
      <c r="H946" s="6"/>
      <c r="I946" s="2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2"/>
      <c r="B947" s="6"/>
      <c r="C947" s="6"/>
      <c r="D947" s="6"/>
      <c r="E947" s="6"/>
      <c r="F947" s="6"/>
      <c r="G947" s="6"/>
      <c r="H947" s="6"/>
      <c r="I947" s="2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2"/>
      <c r="B948" s="6"/>
      <c r="C948" s="6"/>
      <c r="D948" s="6"/>
      <c r="E948" s="6"/>
      <c r="F948" s="6"/>
      <c r="G948" s="6"/>
      <c r="H948" s="6"/>
      <c r="I948" s="2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2"/>
      <c r="B949" s="6"/>
      <c r="C949" s="6"/>
      <c r="D949" s="6"/>
      <c r="E949" s="6"/>
      <c r="F949" s="6"/>
      <c r="G949" s="6"/>
      <c r="H949" s="6"/>
      <c r="I949" s="2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2"/>
      <c r="B950" s="6"/>
      <c r="C950" s="6"/>
      <c r="D950" s="6"/>
      <c r="E950" s="6"/>
      <c r="F950" s="6"/>
      <c r="G950" s="6"/>
      <c r="H950" s="6"/>
      <c r="I950" s="2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2"/>
      <c r="B951" s="6"/>
      <c r="C951" s="6"/>
      <c r="D951" s="6"/>
      <c r="E951" s="6"/>
      <c r="F951" s="6"/>
      <c r="G951" s="6"/>
      <c r="H951" s="6"/>
      <c r="I951" s="2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2"/>
      <c r="B952" s="6"/>
      <c r="C952" s="6"/>
      <c r="D952" s="6"/>
      <c r="E952" s="6"/>
      <c r="F952" s="6"/>
      <c r="G952" s="6"/>
      <c r="H952" s="6"/>
      <c r="I952" s="2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2"/>
      <c r="B953" s="6"/>
      <c r="C953" s="6"/>
      <c r="D953" s="6"/>
      <c r="E953" s="6"/>
      <c r="F953" s="6"/>
      <c r="G953" s="6"/>
      <c r="H953" s="6"/>
      <c r="I953" s="2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2"/>
      <c r="B954" s="6"/>
      <c r="C954" s="6"/>
      <c r="D954" s="6"/>
      <c r="E954" s="6"/>
      <c r="F954" s="6"/>
      <c r="G954" s="6"/>
      <c r="H954" s="6"/>
      <c r="I954" s="2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2"/>
      <c r="B955" s="6"/>
      <c r="C955" s="6"/>
      <c r="D955" s="6"/>
      <c r="E955" s="6"/>
      <c r="F955" s="6"/>
      <c r="G955" s="6"/>
      <c r="H955" s="6"/>
      <c r="I955" s="2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2"/>
      <c r="B956" s="6"/>
      <c r="C956" s="6"/>
      <c r="D956" s="6"/>
      <c r="E956" s="6"/>
      <c r="F956" s="6"/>
      <c r="G956" s="6"/>
      <c r="H956" s="6"/>
      <c r="I956" s="2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2"/>
      <c r="B957" s="6"/>
      <c r="C957" s="6"/>
      <c r="D957" s="6"/>
      <c r="E957" s="6"/>
      <c r="F957" s="6"/>
      <c r="G957" s="6"/>
      <c r="H957" s="6"/>
      <c r="I957" s="2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2"/>
      <c r="B958" s="6"/>
      <c r="C958" s="6"/>
      <c r="D958" s="6"/>
      <c r="E958" s="6"/>
      <c r="F958" s="6"/>
      <c r="G958" s="6"/>
      <c r="H958" s="6"/>
      <c r="I958" s="2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2"/>
      <c r="B959" s="6"/>
      <c r="C959" s="6"/>
      <c r="D959" s="6"/>
      <c r="E959" s="6"/>
      <c r="F959" s="6"/>
      <c r="G959" s="6"/>
      <c r="H959" s="6"/>
      <c r="I959" s="2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2"/>
      <c r="B960" s="6"/>
      <c r="C960" s="6"/>
      <c r="D960" s="6"/>
      <c r="E960" s="6"/>
      <c r="F960" s="6"/>
      <c r="G960" s="6"/>
      <c r="H960" s="6"/>
      <c r="I960" s="2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2"/>
      <c r="B961" s="6"/>
      <c r="C961" s="6"/>
      <c r="D961" s="6"/>
      <c r="E961" s="6"/>
      <c r="F961" s="6"/>
      <c r="G961" s="6"/>
      <c r="H961" s="6"/>
      <c r="I961" s="2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2"/>
      <c r="B962" s="6"/>
      <c r="C962" s="6"/>
      <c r="D962" s="6"/>
      <c r="E962" s="6"/>
      <c r="F962" s="6"/>
      <c r="G962" s="6"/>
      <c r="H962" s="6"/>
      <c r="I962" s="2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2"/>
      <c r="B963" s="6"/>
      <c r="C963" s="6"/>
      <c r="D963" s="6"/>
      <c r="E963" s="6"/>
      <c r="F963" s="6"/>
      <c r="G963" s="6"/>
      <c r="H963" s="6"/>
      <c r="I963" s="2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2"/>
      <c r="B964" s="6"/>
      <c r="C964" s="6"/>
      <c r="D964" s="6"/>
      <c r="E964" s="6"/>
      <c r="F964" s="6"/>
      <c r="G964" s="6"/>
      <c r="H964" s="6"/>
      <c r="I964" s="2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2"/>
      <c r="B965" s="6"/>
      <c r="C965" s="6"/>
      <c r="D965" s="6"/>
      <c r="E965" s="6"/>
      <c r="F965" s="6"/>
      <c r="G965" s="6"/>
      <c r="H965" s="6"/>
      <c r="I965" s="2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2"/>
      <c r="B966" s="6"/>
      <c r="C966" s="6"/>
      <c r="D966" s="6"/>
      <c r="E966" s="6"/>
      <c r="F966" s="6"/>
      <c r="G966" s="6"/>
      <c r="H966" s="6"/>
      <c r="I966" s="2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2"/>
      <c r="B967" s="6"/>
      <c r="C967" s="6"/>
      <c r="D967" s="6"/>
      <c r="E967" s="6"/>
      <c r="F967" s="6"/>
      <c r="G967" s="6"/>
      <c r="H967" s="6"/>
      <c r="I967" s="2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2"/>
      <c r="B968" s="6"/>
      <c r="C968" s="6"/>
      <c r="D968" s="6"/>
      <c r="E968" s="6"/>
      <c r="F968" s="6"/>
      <c r="G968" s="6"/>
      <c r="H968" s="6"/>
      <c r="I968" s="2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2"/>
      <c r="B969" s="6"/>
      <c r="C969" s="6"/>
      <c r="D969" s="6"/>
      <c r="E969" s="6"/>
      <c r="F969" s="6"/>
      <c r="G969" s="6"/>
      <c r="H969" s="6"/>
      <c r="I969" s="2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2"/>
      <c r="B970" s="6"/>
      <c r="C970" s="6"/>
      <c r="D970" s="6"/>
      <c r="E970" s="6"/>
      <c r="F970" s="6"/>
      <c r="G970" s="6"/>
      <c r="H970" s="6"/>
      <c r="I970" s="2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2"/>
      <c r="B971" s="6"/>
      <c r="C971" s="6"/>
      <c r="D971" s="6"/>
      <c r="E971" s="6"/>
      <c r="F971" s="6"/>
      <c r="G971" s="6"/>
      <c r="H971" s="6"/>
      <c r="I971" s="2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2"/>
      <c r="B972" s="6"/>
      <c r="C972" s="6"/>
      <c r="D972" s="6"/>
      <c r="E972" s="6"/>
      <c r="F972" s="6"/>
      <c r="G972" s="6"/>
      <c r="H972" s="6"/>
      <c r="I972" s="2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2"/>
      <c r="B973" s="6"/>
      <c r="C973" s="6"/>
      <c r="D973" s="6"/>
      <c r="E973" s="6"/>
      <c r="F973" s="6"/>
      <c r="G973" s="6"/>
      <c r="H973" s="6"/>
      <c r="I973" s="2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2"/>
      <c r="B974" s="6"/>
      <c r="C974" s="6"/>
      <c r="D974" s="6"/>
      <c r="E974" s="6"/>
      <c r="F974" s="6"/>
      <c r="G974" s="6"/>
      <c r="H974" s="6"/>
      <c r="I974" s="2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2"/>
      <c r="B975" s="6"/>
      <c r="C975" s="6"/>
      <c r="D975" s="6"/>
      <c r="E975" s="6"/>
      <c r="F975" s="6"/>
      <c r="G975" s="6"/>
      <c r="H975" s="6"/>
      <c r="I975" s="2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2"/>
      <c r="B976" s="6"/>
      <c r="C976" s="6"/>
      <c r="D976" s="6"/>
      <c r="E976" s="6"/>
      <c r="F976" s="6"/>
      <c r="G976" s="6"/>
      <c r="H976" s="6"/>
      <c r="I976" s="2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2"/>
      <c r="B977" s="6"/>
      <c r="C977" s="6"/>
      <c r="D977" s="6"/>
      <c r="E977" s="6"/>
      <c r="F977" s="6"/>
      <c r="G977" s="6"/>
      <c r="H977" s="6"/>
      <c r="I977" s="2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2"/>
      <c r="B978" s="6"/>
      <c r="C978" s="6"/>
      <c r="D978" s="6"/>
      <c r="E978" s="6"/>
      <c r="F978" s="6"/>
      <c r="G978" s="6"/>
      <c r="H978" s="6"/>
      <c r="I978" s="2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2"/>
      <c r="B979" s="6"/>
      <c r="C979" s="6"/>
      <c r="D979" s="6"/>
      <c r="E979" s="6"/>
      <c r="F979" s="6"/>
      <c r="G979" s="6"/>
      <c r="H979" s="6"/>
      <c r="I979" s="2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2"/>
      <c r="B980" s="6"/>
      <c r="C980" s="6"/>
      <c r="D980" s="6"/>
      <c r="E980" s="6"/>
      <c r="F980" s="6"/>
      <c r="G980" s="6"/>
      <c r="H980" s="6"/>
      <c r="I980" s="2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2"/>
      <c r="B981" s="6"/>
      <c r="C981" s="6"/>
      <c r="D981" s="6"/>
      <c r="E981" s="6"/>
      <c r="F981" s="6"/>
      <c r="G981" s="6"/>
      <c r="H981" s="6"/>
      <c r="I981" s="2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2"/>
      <c r="B982" s="6"/>
      <c r="C982" s="6"/>
      <c r="D982" s="6"/>
      <c r="E982" s="6"/>
      <c r="F982" s="6"/>
      <c r="G982" s="6"/>
      <c r="H982" s="6"/>
      <c r="I982" s="2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2"/>
      <c r="B983" s="6"/>
      <c r="C983" s="6"/>
      <c r="D983" s="6"/>
      <c r="E983" s="6"/>
      <c r="F983" s="6"/>
      <c r="G983" s="6"/>
      <c r="H983" s="6"/>
      <c r="I983" s="2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2"/>
      <c r="B984" s="6"/>
      <c r="C984" s="6"/>
      <c r="D984" s="6"/>
      <c r="E984" s="6"/>
      <c r="F984" s="6"/>
      <c r="G984" s="6"/>
      <c r="H984" s="6"/>
      <c r="I984" s="2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2"/>
      <c r="B985" s="6"/>
      <c r="C985" s="6"/>
      <c r="D985" s="6"/>
      <c r="E985" s="6"/>
      <c r="F985" s="6"/>
      <c r="G985" s="6"/>
      <c r="H985" s="6"/>
      <c r="I985" s="2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2"/>
      <c r="B986" s="6"/>
      <c r="C986" s="6"/>
      <c r="D986" s="6"/>
      <c r="E986" s="6"/>
      <c r="F986" s="6"/>
      <c r="G986" s="6"/>
      <c r="H986" s="6"/>
      <c r="I986" s="2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2"/>
      <c r="B987" s="6"/>
      <c r="C987" s="6"/>
      <c r="D987" s="6"/>
      <c r="E987" s="6"/>
      <c r="F987" s="6"/>
      <c r="G987" s="6"/>
      <c r="H987" s="6"/>
      <c r="I987" s="2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2"/>
      <c r="B988" s="6"/>
      <c r="C988" s="6"/>
      <c r="D988" s="6"/>
      <c r="E988" s="6"/>
      <c r="F988" s="6"/>
      <c r="G988" s="6"/>
      <c r="H988" s="6"/>
      <c r="I988" s="2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2"/>
      <c r="B989" s="6"/>
      <c r="C989" s="6"/>
      <c r="D989" s="6"/>
      <c r="E989" s="6"/>
      <c r="F989" s="6"/>
      <c r="G989" s="6"/>
      <c r="H989" s="6"/>
      <c r="I989" s="2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2"/>
      <c r="B990" s="6"/>
      <c r="C990" s="6"/>
      <c r="D990" s="6"/>
      <c r="E990" s="6"/>
      <c r="F990" s="6"/>
      <c r="G990" s="6"/>
      <c r="H990" s="6"/>
      <c r="I990" s="2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2"/>
      <c r="B991" s="6"/>
      <c r="C991" s="6"/>
      <c r="D991" s="6"/>
      <c r="E991" s="6"/>
      <c r="F991" s="6"/>
      <c r="G991" s="6"/>
      <c r="H991" s="6"/>
      <c r="I991" s="2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2"/>
      <c r="B992" s="6"/>
      <c r="C992" s="6"/>
      <c r="D992" s="6"/>
      <c r="E992" s="6"/>
      <c r="F992" s="6"/>
      <c r="G992" s="6"/>
      <c r="H992" s="6"/>
      <c r="I992" s="2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2"/>
      <c r="B993" s="6"/>
      <c r="C993" s="6"/>
      <c r="D993" s="6"/>
      <c r="E993" s="6"/>
      <c r="F993" s="6"/>
      <c r="G993" s="6"/>
      <c r="H993" s="6"/>
      <c r="I993" s="2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2"/>
      <c r="B994" s="6"/>
      <c r="C994" s="6"/>
      <c r="D994" s="6"/>
      <c r="E994" s="6"/>
      <c r="F994" s="6"/>
      <c r="G994" s="6"/>
      <c r="H994" s="6"/>
      <c r="I994" s="2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2"/>
      <c r="B995" s="6"/>
      <c r="C995" s="6"/>
      <c r="D995" s="6"/>
      <c r="E995" s="6"/>
      <c r="F995" s="6"/>
      <c r="G995" s="6"/>
      <c r="H995" s="6"/>
      <c r="I995" s="2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A996" s="2"/>
      <c r="B996" s="6"/>
      <c r="C996" s="6"/>
      <c r="D996" s="6"/>
      <c r="E996" s="6"/>
      <c r="F996" s="6"/>
      <c r="G996" s="6"/>
      <c r="H996" s="6"/>
      <c r="I996" s="2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4.25" customHeight="1">
      <c r="A997" s="2"/>
      <c r="B997" s="6"/>
      <c r="C997" s="6"/>
      <c r="D997" s="6"/>
      <c r="E997" s="6"/>
      <c r="F997" s="6"/>
      <c r="G997" s="6"/>
      <c r="H997" s="6"/>
      <c r="I997" s="2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4.25" customHeight="1">
      <c r="A998" s="2"/>
      <c r="B998" s="6"/>
      <c r="C998" s="6"/>
      <c r="D998" s="6"/>
      <c r="E998" s="6"/>
      <c r="F998" s="6"/>
      <c r="G998" s="6"/>
      <c r="H998" s="6"/>
      <c r="I998" s="2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4.25" customHeight="1">
      <c r="A999" s="2"/>
      <c r="B999" s="6"/>
      <c r="C999" s="6"/>
      <c r="D999" s="6"/>
      <c r="E999" s="6"/>
      <c r="F999" s="6"/>
      <c r="G999" s="6"/>
      <c r="H999" s="6"/>
      <c r="I999" s="2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4.25" customHeight="1">
      <c r="A1000" s="2"/>
      <c r="B1000" s="6"/>
      <c r="C1000" s="6"/>
      <c r="D1000" s="6"/>
      <c r="E1000" s="6"/>
      <c r="F1000" s="6"/>
      <c r="G1000" s="6"/>
      <c r="H1000" s="6"/>
      <c r="I1000" s="2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8">
    <mergeCell ref="C3:D6"/>
    <mergeCell ref="F3:G6"/>
    <mergeCell ref="C8:D9"/>
    <mergeCell ref="F8:G9"/>
    <mergeCell ref="C20:D20"/>
    <mergeCell ref="C55:D55"/>
    <mergeCell ref="C56:C57"/>
    <mergeCell ref="D56:D57"/>
  </mergeCells>
  <conditionalFormatting sqref="D56:D57">
    <cfRule type="cellIs" dxfId="0" priority="1" operator="lessThan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18.71"/>
    <col customWidth="1" min="2" max="2" width="37.0"/>
    <col customWidth="1" min="3" max="3" width="11.0"/>
    <col customWidth="1" min="4" max="4" width="10.71"/>
    <col customWidth="1" min="5" max="5" width="14.43"/>
    <col customWidth="1" min="6" max="505" width="12.71"/>
  </cols>
  <sheetData>
    <row r="1" ht="15.0" customHeight="1">
      <c r="A1" s="51" t="s">
        <v>13</v>
      </c>
      <c r="B1" s="52" t="s">
        <v>14</v>
      </c>
      <c r="C1" s="53"/>
      <c r="D1" s="54"/>
      <c r="E1" s="55" t="s">
        <v>15</v>
      </c>
      <c r="F1" s="55" t="s">
        <v>16</v>
      </c>
      <c r="G1" s="55" t="s">
        <v>17</v>
      </c>
      <c r="H1" s="55" t="s">
        <v>18</v>
      </c>
      <c r="I1" s="55" t="s">
        <v>19</v>
      </c>
      <c r="J1" s="55" t="s">
        <v>20</v>
      </c>
      <c r="K1" s="55" t="s">
        <v>21</v>
      </c>
      <c r="L1" s="55" t="s">
        <v>22</v>
      </c>
      <c r="M1" s="55" t="s">
        <v>23</v>
      </c>
      <c r="N1" s="55" t="s">
        <v>24</v>
      </c>
      <c r="O1" s="55" t="s">
        <v>25</v>
      </c>
      <c r="P1" s="55" t="s">
        <v>26</v>
      </c>
      <c r="Q1" s="55" t="s">
        <v>27</v>
      </c>
      <c r="R1" s="55" t="s">
        <v>28</v>
      </c>
      <c r="S1" s="55" t="s">
        <v>29</v>
      </c>
      <c r="T1" s="55" t="s">
        <v>30</v>
      </c>
      <c r="U1" s="55" t="s">
        <v>31</v>
      </c>
      <c r="V1" s="55" t="s">
        <v>32</v>
      </c>
      <c r="W1" s="55" t="s">
        <v>33</v>
      </c>
      <c r="X1" s="55" t="s">
        <v>34</v>
      </c>
      <c r="Y1" s="55" t="s">
        <v>35</v>
      </c>
      <c r="Z1" s="55" t="s">
        <v>36</v>
      </c>
      <c r="AA1" s="55" t="s">
        <v>37</v>
      </c>
      <c r="AB1" s="55" t="s">
        <v>38</v>
      </c>
      <c r="AC1" s="55" t="s">
        <v>39</v>
      </c>
      <c r="AD1" s="55" t="s">
        <v>40</v>
      </c>
      <c r="AE1" s="55" t="s">
        <v>41</v>
      </c>
      <c r="AF1" s="55" t="s">
        <v>42</v>
      </c>
      <c r="AG1" s="55" t="s">
        <v>43</v>
      </c>
      <c r="AH1" s="55" t="s">
        <v>44</v>
      </c>
      <c r="AI1" s="55" t="s">
        <v>45</v>
      </c>
      <c r="AJ1" s="55" t="s">
        <v>46</v>
      </c>
      <c r="AK1" s="55" t="s">
        <v>47</v>
      </c>
      <c r="AL1" s="55" t="s">
        <v>48</v>
      </c>
      <c r="AM1" s="55" t="s">
        <v>49</v>
      </c>
      <c r="AN1" s="55" t="s">
        <v>50</v>
      </c>
      <c r="AO1" s="55" t="s">
        <v>51</v>
      </c>
      <c r="AP1" s="55" t="s">
        <v>52</v>
      </c>
      <c r="AQ1" s="55" t="s">
        <v>53</v>
      </c>
      <c r="AR1" s="55" t="s">
        <v>54</v>
      </c>
      <c r="AS1" s="55" t="s">
        <v>55</v>
      </c>
      <c r="AT1" s="55" t="s">
        <v>56</v>
      </c>
      <c r="AU1" s="55" t="s">
        <v>57</v>
      </c>
      <c r="AV1" s="55" t="s">
        <v>58</v>
      </c>
      <c r="AW1" s="55" t="s">
        <v>59</v>
      </c>
      <c r="AX1" s="55" t="s">
        <v>60</v>
      </c>
      <c r="AY1" s="55" t="s">
        <v>61</v>
      </c>
      <c r="AZ1" s="55" t="s">
        <v>62</v>
      </c>
      <c r="BA1" s="55" t="s">
        <v>63</v>
      </c>
      <c r="BB1" s="55" t="s">
        <v>64</v>
      </c>
      <c r="BC1" s="55" t="s">
        <v>65</v>
      </c>
      <c r="BD1" s="56" t="s">
        <v>66</v>
      </c>
      <c r="BE1" s="55" t="s">
        <v>67</v>
      </c>
      <c r="BF1" s="55" t="s">
        <v>68</v>
      </c>
      <c r="BG1" s="55" t="s">
        <v>69</v>
      </c>
      <c r="BH1" s="55" t="s">
        <v>70</v>
      </c>
      <c r="BI1" s="55" t="s">
        <v>71</v>
      </c>
      <c r="BJ1" s="55" t="s">
        <v>72</v>
      </c>
      <c r="BK1" s="55" t="s">
        <v>73</v>
      </c>
      <c r="BL1" s="55" t="s">
        <v>74</v>
      </c>
      <c r="BM1" s="55" t="s">
        <v>75</v>
      </c>
      <c r="BN1" s="55" t="s">
        <v>76</v>
      </c>
      <c r="BO1" s="55" t="s">
        <v>77</v>
      </c>
      <c r="BP1" s="55" t="s">
        <v>78</v>
      </c>
      <c r="BQ1" s="55" t="s">
        <v>79</v>
      </c>
      <c r="BR1" s="55" t="s">
        <v>80</v>
      </c>
      <c r="BS1" s="55" t="s">
        <v>81</v>
      </c>
      <c r="BT1" s="55" t="s">
        <v>82</v>
      </c>
      <c r="BU1" s="55" t="s">
        <v>83</v>
      </c>
      <c r="BV1" s="55" t="s">
        <v>84</v>
      </c>
      <c r="BW1" s="55" t="s">
        <v>85</v>
      </c>
      <c r="BX1" s="55" t="s">
        <v>86</v>
      </c>
      <c r="BY1" s="55" t="s">
        <v>87</v>
      </c>
      <c r="BZ1" s="55" t="s">
        <v>88</v>
      </c>
      <c r="CA1" s="55" t="s">
        <v>89</v>
      </c>
      <c r="CB1" s="55" t="s">
        <v>90</v>
      </c>
      <c r="CC1" s="55" t="s">
        <v>91</v>
      </c>
      <c r="CD1" s="55" t="s">
        <v>92</v>
      </c>
      <c r="CE1" s="55" t="s">
        <v>93</v>
      </c>
      <c r="CF1" s="55" t="s">
        <v>94</v>
      </c>
      <c r="CG1" s="55" t="s">
        <v>95</v>
      </c>
      <c r="CH1" s="55" t="s">
        <v>96</v>
      </c>
      <c r="CI1" s="55" t="s">
        <v>97</v>
      </c>
      <c r="CJ1" s="55" t="s">
        <v>98</v>
      </c>
      <c r="CK1" s="55" t="s">
        <v>99</v>
      </c>
      <c r="CL1" s="55" t="s">
        <v>100</v>
      </c>
      <c r="CM1" s="55" t="s">
        <v>101</v>
      </c>
      <c r="CN1" s="55" t="s">
        <v>102</v>
      </c>
      <c r="CO1" s="55" t="s">
        <v>103</v>
      </c>
      <c r="CP1" s="55" t="s">
        <v>104</v>
      </c>
      <c r="CQ1" s="55" t="s">
        <v>105</v>
      </c>
      <c r="CR1" s="55" t="s">
        <v>106</v>
      </c>
      <c r="CS1" s="55" t="s">
        <v>107</v>
      </c>
      <c r="CT1" s="55" t="s">
        <v>108</v>
      </c>
      <c r="CU1" s="55" t="s">
        <v>109</v>
      </c>
      <c r="CV1" s="55" t="s">
        <v>110</v>
      </c>
      <c r="CW1" s="55" t="s">
        <v>111</v>
      </c>
      <c r="CX1" s="55" t="s">
        <v>112</v>
      </c>
      <c r="CY1" s="55" t="s">
        <v>113</v>
      </c>
      <c r="CZ1" s="55" t="s">
        <v>114</v>
      </c>
      <c r="DA1" s="55" t="s">
        <v>115</v>
      </c>
      <c r="DB1" s="55" t="s">
        <v>116</v>
      </c>
      <c r="DC1" s="55" t="s">
        <v>117</v>
      </c>
      <c r="DD1" s="55" t="s">
        <v>118</v>
      </c>
      <c r="DE1" s="55" t="s">
        <v>119</v>
      </c>
      <c r="DF1" s="55" t="s">
        <v>120</v>
      </c>
      <c r="DG1" s="55" t="s">
        <v>121</v>
      </c>
      <c r="DH1" s="55" t="s">
        <v>122</v>
      </c>
      <c r="DI1" s="55" t="s">
        <v>123</v>
      </c>
      <c r="DJ1" s="55" t="s">
        <v>124</v>
      </c>
      <c r="DK1" s="55" t="s">
        <v>125</v>
      </c>
      <c r="DL1" s="55" t="s">
        <v>126</v>
      </c>
      <c r="DM1" s="55" t="s">
        <v>127</v>
      </c>
      <c r="DN1" s="55" t="s">
        <v>128</v>
      </c>
      <c r="DO1" s="55" t="s">
        <v>129</v>
      </c>
      <c r="DP1" s="55" t="s">
        <v>130</v>
      </c>
      <c r="DQ1" s="55" t="s">
        <v>131</v>
      </c>
      <c r="DR1" s="55" t="s">
        <v>132</v>
      </c>
      <c r="DS1" s="55" t="s">
        <v>133</v>
      </c>
      <c r="DT1" s="55" t="s">
        <v>134</v>
      </c>
      <c r="DU1" s="55" t="s">
        <v>135</v>
      </c>
      <c r="DV1" s="55" t="s">
        <v>136</v>
      </c>
      <c r="DW1" s="55" t="s">
        <v>137</v>
      </c>
      <c r="DX1" s="55" t="s">
        <v>138</v>
      </c>
      <c r="DY1" s="55" t="s">
        <v>139</v>
      </c>
      <c r="DZ1" s="55" t="s">
        <v>140</v>
      </c>
      <c r="EA1" s="55" t="s">
        <v>141</v>
      </c>
      <c r="EB1" s="55" t="s">
        <v>142</v>
      </c>
      <c r="EC1" s="55" t="s">
        <v>143</v>
      </c>
      <c r="ED1" s="55" t="s">
        <v>144</v>
      </c>
      <c r="EE1" s="55" t="s">
        <v>145</v>
      </c>
      <c r="EF1" s="55" t="s">
        <v>146</v>
      </c>
      <c r="EG1" s="55" t="s">
        <v>147</v>
      </c>
      <c r="EH1" s="55" t="s">
        <v>148</v>
      </c>
      <c r="EI1" s="55" t="s">
        <v>149</v>
      </c>
      <c r="EJ1" s="55" t="s">
        <v>150</v>
      </c>
      <c r="EK1" s="55" t="s">
        <v>151</v>
      </c>
      <c r="EL1" s="55" t="s">
        <v>152</v>
      </c>
      <c r="EM1" s="55" t="s">
        <v>153</v>
      </c>
      <c r="EN1" s="55" t="s">
        <v>154</v>
      </c>
      <c r="EO1" s="55" t="s">
        <v>155</v>
      </c>
      <c r="EP1" s="55" t="s">
        <v>156</v>
      </c>
      <c r="EQ1" s="55" t="s">
        <v>157</v>
      </c>
      <c r="ER1" s="55" t="s">
        <v>158</v>
      </c>
      <c r="ES1" s="55" t="s">
        <v>159</v>
      </c>
      <c r="ET1" s="55" t="s">
        <v>160</v>
      </c>
      <c r="EU1" s="55" t="s">
        <v>161</v>
      </c>
      <c r="EV1" s="55" t="s">
        <v>162</v>
      </c>
      <c r="EW1" s="55" t="s">
        <v>163</v>
      </c>
      <c r="EX1" s="55" t="s">
        <v>164</v>
      </c>
      <c r="EY1" s="55" t="s">
        <v>165</v>
      </c>
      <c r="EZ1" s="55" t="s">
        <v>166</v>
      </c>
      <c r="FA1" s="55" t="s">
        <v>167</v>
      </c>
      <c r="FB1" s="55" t="s">
        <v>168</v>
      </c>
      <c r="FC1" s="55" t="s">
        <v>169</v>
      </c>
      <c r="FD1" s="55" t="s">
        <v>170</v>
      </c>
      <c r="FE1" s="55" t="s">
        <v>171</v>
      </c>
      <c r="FF1" s="55" t="s">
        <v>172</v>
      </c>
      <c r="FG1" s="55" t="s">
        <v>173</v>
      </c>
      <c r="FH1" s="55" t="s">
        <v>174</v>
      </c>
      <c r="FI1" s="55" t="s">
        <v>175</v>
      </c>
      <c r="FJ1" s="55" t="s">
        <v>176</v>
      </c>
      <c r="FK1" s="55" t="s">
        <v>177</v>
      </c>
      <c r="FL1" s="55" t="s">
        <v>178</v>
      </c>
      <c r="FM1" s="55" t="s">
        <v>179</v>
      </c>
      <c r="FN1" s="55" t="s">
        <v>180</v>
      </c>
      <c r="FO1" s="55" t="s">
        <v>181</v>
      </c>
      <c r="FP1" s="55" t="s">
        <v>182</v>
      </c>
      <c r="FQ1" s="55" t="s">
        <v>183</v>
      </c>
      <c r="FR1" s="55" t="s">
        <v>184</v>
      </c>
      <c r="FS1" s="55" t="s">
        <v>185</v>
      </c>
      <c r="FT1" s="55" t="s">
        <v>186</v>
      </c>
      <c r="FU1" s="55" t="s">
        <v>187</v>
      </c>
      <c r="FV1" s="55" t="s">
        <v>188</v>
      </c>
      <c r="FW1" s="55" t="s">
        <v>189</v>
      </c>
      <c r="FX1" s="55" t="s">
        <v>190</v>
      </c>
      <c r="FY1" s="55" t="s">
        <v>191</v>
      </c>
      <c r="FZ1" s="55" t="s">
        <v>192</v>
      </c>
      <c r="GA1" s="55" t="s">
        <v>193</v>
      </c>
      <c r="GB1" s="55" t="s">
        <v>194</v>
      </c>
      <c r="GC1" s="55" t="s">
        <v>195</v>
      </c>
      <c r="GD1" s="55" t="s">
        <v>196</v>
      </c>
      <c r="GE1" s="55" t="s">
        <v>197</v>
      </c>
      <c r="GF1" s="55" t="s">
        <v>198</v>
      </c>
      <c r="GG1" s="55" t="s">
        <v>199</v>
      </c>
      <c r="GH1" s="55" t="s">
        <v>200</v>
      </c>
      <c r="GI1" s="55" t="s">
        <v>201</v>
      </c>
      <c r="GJ1" s="55" t="s">
        <v>202</v>
      </c>
      <c r="GK1" s="55" t="s">
        <v>203</v>
      </c>
      <c r="GL1" s="55" t="s">
        <v>204</v>
      </c>
      <c r="GM1" s="55" t="s">
        <v>205</v>
      </c>
      <c r="GN1" s="55" t="s">
        <v>206</v>
      </c>
      <c r="GO1" s="55" t="s">
        <v>207</v>
      </c>
      <c r="GP1" s="55" t="s">
        <v>208</v>
      </c>
      <c r="GQ1" s="55" t="s">
        <v>209</v>
      </c>
      <c r="GR1" s="55" t="s">
        <v>210</v>
      </c>
      <c r="GS1" s="55" t="s">
        <v>211</v>
      </c>
      <c r="GT1" s="55" t="s">
        <v>212</v>
      </c>
      <c r="GU1" s="55" t="s">
        <v>213</v>
      </c>
      <c r="GV1" s="55" t="s">
        <v>214</v>
      </c>
      <c r="GW1" s="55" t="s">
        <v>215</v>
      </c>
      <c r="GX1" s="55" t="s">
        <v>216</v>
      </c>
      <c r="GY1" s="55" t="s">
        <v>217</v>
      </c>
      <c r="GZ1" s="55" t="s">
        <v>218</v>
      </c>
      <c r="HA1" s="55" t="s">
        <v>219</v>
      </c>
      <c r="HB1" s="55" t="s">
        <v>220</v>
      </c>
      <c r="HC1" s="55" t="s">
        <v>221</v>
      </c>
      <c r="HD1" s="55" t="s">
        <v>222</v>
      </c>
      <c r="HE1" s="55" t="s">
        <v>223</v>
      </c>
      <c r="HF1" s="55" t="s">
        <v>224</v>
      </c>
      <c r="HG1" s="55" t="s">
        <v>225</v>
      </c>
      <c r="HH1" s="55" t="s">
        <v>226</v>
      </c>
      <c r="HI1" s="55" t="s">
        <v>227</v>
      </c>
      <c r="HJ1" s="55" t="s">
        <v>228</v>
      </c>
      <c r="HK1" s="55" t="s">
        <v>229</v>
      </c>
      <c r="HL1" s="55" t="s">
        <v>230</v>
      </c>
      <c r="HM1" s="55" t="s">
        <v>231</v>
      </c>
      <c r="HN1" s="55" t="s">
        <v>232</v>
      </c>
      <c r="HO1" s="55" t="s">
        <v>233</v>
      </c>
      <c r="HP1" s="55" t="s">
        <v>234</v>
      </c>
      <c r="HQ1" s="55" t="s">
        <v>235</v>
      </c>
      <c r="HR1" s="55" t="s">
        <v>236</v>
      </c>
      <c r="HS1" s="55" t="s">
        <v>237</v>
      </c>
      <c r="HT1" s="55" t="s">
        <v>238</v>
      </c>
      <c r="HU1" s="55" t="s">
        <v>239</v>
      </c>
      <c r="HV1" s="55" t="s">
        <v>240</v>
      </c>
      <c r="HW1" s="55" t="s">
        <v>241</v>
      </c>
      <c r="HX1" s="55" t="s">
        <v>242</v>
      </c>
      <c r="HY1" s="55" t="s">
        <v>243</v>
      </c>
      <c r="HZ1" s="55" t="s">
        <v>244</v>
      </c>
      <c r="IA1" s="55" t="s">
        <v>245</v>
      </c>
      <c r="IB1" s="55" t="s">
        <v>246</v>
      </c>
      <c r="IC1" s="55" t="s">
        <v>247</v>
      </c>
      <c r="ID1" s="55" t="s">
        <v>248</v>
      </c>
      <c r="IE1" s="55" t="s">
        <v>249</v>
      </c>
      <c r="IF1" s="55" t="s">
        <v>250</v>
      </c>
      <c r="IG1" s="55" t="s">
        <v>251</v>
      </c>
      <c r="IH1" s="55" t="s">
        <v>252</v>
      </c>
      <c r="II1" s="55" t="s">
        <v>253</v>
      </c>
      <c r="IJ1" s="55" t="s">
        <v>254</v>
      </c>
      <c r="IK1" s="55" t="s">
        <v>255</v>
      </c>
      <c r="IL1" s="55" t="s">
        <v>256</v>
      </c>
      <c r="IM1" s="55" t="s">
        <v>257</v>
      </c>
      <c r="IN1" s="55" t="s">
        <v>258</v>
      </c>
      <c r="IO1" s="55" t="s">
        <v>259</v>
      </c>
      <c r="IP1" s="55" t="s">
        <v>260</v>
      </c>
      <c r="IQ1" s="55" t="s">
        <v>261</v>
      </c>
      <c r="IR1" s="55" t="s">
        <v>262</v>
      </c>
      <c r="IS1" s="55" t="s">
        <v>263</v>
      </c>
      <c r="IT1" s="55" t="s">
        <v>264</v>
      </c>
      <c r="IU1" s="55" t="s">
        <v>265</v>
      </c>
      <c r="IV1" s="55" t="s">
        <v>266</v>
      </c>
      <c r="IW1" s="55" t="s">
        <v>267</v>
      </c>
      <c r="IX1" s="55" t="s">
        <v>268</v>
      </c>
      <c r="IY1" s="55" t="s">
        <v>269</v>
      </c>
      <c r="IZ1" s="55" t="s">
        <v>270</v>
      </c>
      <c r="JA1" s="55" t="s">
        <v>271</v>
      </c>
      <c r="JB1" s="55" t="s">
        <v>272</v>
      </c>
      <c r="JC1" s="55" t="s">
        <v>273</v>
      </c>
      <c r="JD1" s="55" t="s">
        <v>274</v>
      </c>
      <c r="JE1" s="55" t="s">
        <v>275</v>
      </c>
      <c r="JF1" s="55" t="s">
        <v>276</v>
      </c>
      <c r="JG1" s="55" t="s">
        <v>277</v>
      </c>
      <c r="JH1" s="55" t="s">
        <v>278</v>
      </c>
      <c r="JI1" s="55" t="s">
        <v>279</v>
      </c>
      <c r="JJ1" s="55" t="s">
        <v>280</v>
      </c>
      <c r="JK1" s="55" t="s">
        <v>281</v>
      </c>
      <c r="JL1" s="55" t="s">
        <v>282</v>
      </c>
      <c r="JM1" s="55" t="s">
        <v>283</v>
      </c>
      <c r="JN1" s="55" t="s">
        <v>284</v>
      </c>
      <c r="JO1" s="55" t="s">
        <v>285</v>
      </c>
      <c r="JP1" s="55" t="s">
        <v>286</v>
      </c>
      <c r="JQ1" s="55" t="s">
        <v>287</v>
      </c>
      <c r="JR1" s="55" t="s">
        <v>288</v>
      </c>
      <c r="JS1" s="55" t="s">
        <v>289</v>
      </c>
      <c r="JT1" s="55" t="s">
        <v>290</v>
      </c>
      <c r="JU1" s="55" t="s">
        <v>291</v>
      </c>
      <c r="JV1" s="55" t="s">
        <v>292</v>
      </c>
      <c r="JW1" s="55" t="s">
        <v>293</v>
      </c>
      <c r="JX1" s="55" t="s">
        <v>294</v>
      </c>
      <c r="JY1" s="55" t="s">
        <v>295</v>
      </c>
      <c r="JZ1" s="55" t="s">
        <v>296</v>
      </c>
      <c r="KA1" s="55" t="s">
        <v>297</v>
      </c>
      <c r="KB1" s="55" t="s">
        <v>298</v>
      </c>
      <c r="KC1" s="55" t="s">
        <v>299</v>
      </c>
      <c r="KD1" s="55" t="s">
        <v>300</v>
      </c>
      <c r="KE1" s="55" t="s">
        <v>301</v>
      </c>
      <c r="KF1" s="55" t="s">
        <v>302</v>
      </c>
      <c r="KG1" s="55" t="s">
        <v>303</v>
      </c>
      <c r="KH1" s="55" t="s">
        <v>304</v>
      </c>
      <c r="KI1" s="55" t="s">
        <v>305</v>
      </c>
      <c r="KJ1" s="55" t="s">
        <v>306</v>
      </c>
      <c r="KK1" s="55" t="s">
        <v>307</v>
      </c>
      <c r="KL1" s="55" t="s">
        <v>308</v>
      </c>
      <c r="KM1" s="55" t="s">
        <v>309</v>
      </c>
      <c r="KN1" s="55" t="s">
        <v>310</v>
      </c>
      <c r="KO1" s="55" t="s">
        <v>311</v>
      </c>
      <c r="KP1" s="55" t="s">
        <v>312</v>
      </c>
      <c r="KQ1" s="55" t="s">
        <v>313</v>
      </c>
      <c r="KR1" s="55" t="s">
        <v>314</v>
      </c>
      <c r="KS1" s="55" t="s">
        <v>315</v>
      </c>
      <c r="KT1" s="55" t="s">
        <v>316</v>
      </c>
      <c r="KU1" s="55" t="s">
        <v>317</v>
      </c>
      <c r="KV1" s="55" t="s">
        <v>318</v>
      </c>
      <c r="KW1" s="55" t="s">
        <v>319</v>
      </c>
      <c r="KX1" s="55" t="s">
        <v>320</v>
      </c>
      <c r="KY1" s="55" t="s">
        <v>321</v>
      </c>
      <c r="KZ1" s="55" t="s">
        <v>322</v>
      </c>
      <c r="LA1" s="55" t="s">
        <v>323</v>
      </c>
      <c r="LB1" s="55" t="s">
        <v>324</v>
      </c>
      <c r="LC1" s="55" t="s">
        <v>325</v>
      </c>
      <c r="LD1" s="55" t="s">
        <v>326</v>
      </c>
      <c r="LE1" s="55" t="s">
        <v>327</v>
      </c>
      <c r="LF1" s="55" t="s">
        <v>328</v>
      </c>
      <c r="LG1" s="55" t="s">
        <v>329</v>
      </c>
      <c r="LH1" s="55" t="s">
        <v>330</v>
      </c>
      <c r="LI1" s="55" t="s">
        <v>331</v>
      </c>
      <c r="LJ1" s="55" t="s">
        <v>332</v>
      </c>
      <c r="LK1" s="55" t="s">
        <v>333</v>
      </c>
      <c r="LL1" s="55" t="s">
        <v>334</v>
      </c>
      <c r="LM1" s="55" t="s">
        <v>335</v>
      </c>
      <c r="LN1" s="55" t="s">
        <v>336</v>
      </c>
      <c r="LO1" s="55" t="s">
        <v>337</v>
      </c>
      <c r="LP1" s="55" t="s">
        <v>338</v>
      </c>
      <c r="LQ1" s="55" t="s">
        <v>339</v>
      </c>
      <c r="LR1" s="55" t="s">
        <v>340</v>
      </c>
      <c r="LS1" s="55" t="s">
        <v>341</v>
      </c>
      <c r="LT1" s="55" t="s">
        <v>342</v>
      </c>
      <c r="LU1" s="55" t="s">
        <v>343</v>
      </c>
      <c r="LV1" s="55" t="s">
        <v>344</v>
      </c>
      <c r="LW1" s="55" t="s">
        <v>345</v>
      </c>
      <c r="LX1" s="55" t="s">
        <v>346</v>
      </c>
      <c r="LY1" s="55" t="s">
        <v>347</v>
      </c>
      <c r="LZ1" s="55" t="s">
        <v>348</v>
      </c>
      <c r="MA1" s="55" t="s">
        <v>349</v>
      </c>
      <c r="MB1" s="55" t="s">
        <v>350</v>
      </c>
      <c r="MC1" s="55" t="s">
        <v>351</v>
      </c>
      <c r="MD1" s="55" t="s">
        <v>352</v>
      </c>
      <c r="ME1" s="55" t="s">
        <v>353</v>
      </c>
      <c r="MF1" s="55" t="s">
        <v>354</v>
      </c>
      <c r="MG1" s="55" t="s">
        <v>355</v>
      </c>
      <c r="MH1" s="55" t="s">
        <v>356</v>
      </c>
      <c r="MI1" s="55" t="s">
        <v>357</v>
      </c>
      <c r="MJ1" s="55" t="s">
        <v>358</v>
      </c>
      <c r="MK1" s="55" t="s">
        <v>359</v>
      </c>
      <c r="ML1" s="55" t="s">
        <v>360</v>
      </c>
      <c r="MM1" s="55" t="s">
        <v>361</v>
      </c>
      <c r="MN1" s="55" t="s">
        <v>362</v>
      </c>
      <c r="MO1" s="55" t="s">
        <v>363</v>
      </c>
      <c r="MP1" s="55" t="s">
        <v>364</v>
      </c>
      <c r="MQ1" s="55" t="s">
        <v>365</v>
      </c>
      <c r="MR1" s="55" t="s">
        <v>366</v>
      </c>
      <c r="MS1" s="55" t="s">
        <v>367</v>
      </c>
      <c r="MT1" s="55" t="s">
        <v>368</v>
      </c>
      <c r="MU1" s="55" t="s">
        <v>369</v>
      </c>
      <c r="MV1" s="55" t="s">
        <v>370</v>
      </c>
      <c r="MW1" s="55" t="s">
        <v>371</v>
      </c>
      <c r="MX1" s="55" t="s">
        <v>372</v>
      </c>
      <c r="MY1" s="55" t="s">
        <v>373</v>
      </c>
      <c r="MZ1" s="55" t="s">
        <v>374</v>
      </c>
      <c r="NA1" s="55" t="s">
        <v>375</v>
      </c>
      <c r="NB1" s="55" t="s">
        <v>376</v>
      </c>
      <c r="NC1" s="55" t="s">
        <v>377</v>
      </c>
      <c r="ND1" s="55" t="s">
        <v>378</v>
      </c>
      <c r="NE1" s="55" t="s">
        <v>379</v>
      </c>
      <c r="NF1" s="55" t="s">
        <v>380</v>
      </c>
      <c r="NG1" s="55" t="s">
        <v>381</v>
      </c>
      <c r="NH1" s="55" t="s">
        <v>382</v>
      </c>
      <c r="NI1" s="55" t="s">
        <v>383</v>
      </c>
      <c r="NJ1" s="55" t="s">
        <v>384</v>
      </c>
      <c r="NK1" s="55" t="s">
        <v>385</v>
      </c>
      <c r="NL1" s="55" t="s">
        <v>386</v>
      </c>
      <c r="NM1" s="55" t="s">
        <v>387</v>
      </c>
      <c r="NN1" s="55" t="s">
        <v>388</v>
      </c>
      <c r="NO1" s="55" t="s">
        <v>389</v>
      </c>
      <c r="NP1" s="55" t="s">
        <v>390</v>
      </c>
      <c r="NQ1" s="55" t="s">
        <v>391</v>
      </c>
      <c r="NR1" s="55" t="s">
        <v>392</v>
      </c>
      <c r="NS1" s="55" t="s">
        <v>393</v>
      </c>
      <c r="NT1" s="55" t="s">
        <v>394</v>
      </c>
      <c r="NU1" s="55" t="s">
        <v>395</v>
      </c>
      <c r="NV1" s="55" t="s">
        <v>396</v>
      </c>
      <c r="NW1" s="55" t="s">
        <v>397</v>
      </c>
      <c r="NX1" s="55" t="s">
        <v>398</v>
      </c>
      <c r="NY1" s="55" t="s">
        <v>399</v>
      </c>
      <c r="NZ1" s="55" t="s">
        <v>400</v>
      </c>
      <c r="OA1" s="55" t="s">
        <v>401</v>
      </c>
      <c r="OB1" s="55" t="s">
        <v>402</v>
      </c>
      <c r="OC1" s="55" t="s">
        <v>403</v>
      </c>
      <c r="OD1" s="55" t="s">
        <v>404</v>
      </c>
      <c r="OE1" s="55" t="s">
        <v>405</v>
      </c>
      <c r="OF1" s="55" t="s">
        <v>406</v>
      </c>
      <c r="OG1" s="55" t="s">
        <v>407</v>
      </c>
      <c r="OH1" s="55" t="s">
        <v>408</v>
      </c>
      <c r="OI1" s="55" t="s">
        <v>409</v>
      </c>
      <c r="OJ1" s="55" t="s">
        <v>410</v>
      </c>
      <c r="OK1" s="55" t="s">
        <v>411</v>
      </c>
      <c r="OL1" s="55" t="s">
        <v>412</v>
      </c>
      <c r="OM1" s="55" t="s">
        <v>413</v>
      </c>
      <c r="ON1" s="55" t="s">
        <v>414</v>
      </c>
      <c r="OO1" s="55" t="s">
        <v>415</v>
      </c>
      <c r="OP1" s="55" t="s">
        <v>416</v>
      </c>
      <c r="OQ1" s="55" t="s">
        <v>417</v>
      </c>
      <c r="OR1" s="55" t="s">
        <v>418</v>
      </c>
      <c r="OS1" s="55" t="s">
        <v>419</v>
      </c>
      <c r="OT1" s="55" t="s">
        <v>420</v>
      </c>
      <c r="OU1" s="55" t="s">
        <v>421</v>
      </c>
      <c r="OV1" s="55" t="s">
        <v>422</v>
      </c>
      <c r="OW1" s="55" t="s">
        <v>423</v>
      </c>
      <c r="OX1" s="55" t="s">
        <v>424</v>
      </c>
      <c r="OY1" s="55" t="s">
        <v>425</v>
      </c>
      <c r="OZ1" s="55" t="s">
        <v>426</v>
      </c>
      <c r="PA1" s="55" t="s">
        <v>427</v>
      </c>
      <c r="PB1" s="55" t="s">
        <v>428</v>
      </c>
      <c r="PC1" s="55" t="s">
        <v>429</v>
      </c>
      <c r="PD1" s="55" t="s">
        <v>430</v>
      </c>
      <c r="PE1" s="55" t="s">
        <v>431</v>
      </c>
      <c r="PF1" s="55" t="s">
        <v>432</v>
      </c>
      <c r="PG1" s="55" t="s">
        <v>433</v>
      </c>
      <c r="PH1" s="55" t="s">
        <v>434</v>
      </c>
      <c r="PI1" s="55" t="s">
        <v>435</v>
      </c>
      <c r="PJ1" s="55" t="s">
        <v>436</v>
      </c>
      <c r="PK1" s="55" t="s">
        <v>437</v>
      </c>
      <c r="PL1" s="55" t="s">
        <v>438</v>
      </c>
      <c r="PM1" s="55" t="s">
        <v>439</v>
      </c>
      <c r="PN1" s="55" t="s">
        <v>440</v>
      </c>
      <c r="PO1" s="55" t="s">
        <v>441</v>
      </c>
      <c r="PP1" s="55" t="s">
        <v>442</v>
      </c>
      <c r="PQ1" s="55" t="s">
        <v>443</v>
      </c>
      <c r="PR1" s="55" t="s">
        <v>444</v>
      </c>
      <c r="PS1" s="55" t="s">
        <v>445</v>
      </c>
      <c r="PT1" s="55" t="s">
        <v>446</v>
      </c>
      <c r="PU1" s="55" t="s">
        <v>447</v>
      </c>
      <c r="PV1" s="55" t="s">
        <v>448</v>
      </c>
      <c r="PW1" s="55" t="s">
        <v>449</v>
      </c>
      <c r="PX1" s="55" t="s">
        <v>450</v>
      </c>
      <c r="PY1" s="55" t="s">
        <v>451</v>
      </c>
      <c r="PZ1" s="55" t="s">
        <v>452</v>
      </c>
      <c r="QA1" s="55" t="s">
        <v>453</v>
      </c>
      <c r="QB1" s="55" t="s">
        <v>454</v>
      </c>
      <c r="QC1" s="55" t="s">
        <v>455</v>
      </c>
      <c r="QD1" s="55" t="s">
        <v>456</v>
      </c>
      <c r="QE1" s="55" t="s">
        <v>457</v>
      </c>
      <c r="QF1" s="55" t="s">
        <v>458</v>
      </c>
      <c r="QG1" s="55" t="s">
        <v>459</v>
      </c>
      <c r="QH1" s="55" t="s">
        <v>460</v>
      </c>
      <c r="QI1" s="55" t="s">
        <v>461</v>
      </c>
      <c r="QJ1" s="55" t="s">
        <v>462</v>
      </c>
      <c r="QK1" s="55" t="s">
        <v>463</v>
      </c>
      <c r="QL1" s="55" t="s">
        <v>464</v>
      </c>
      <c r="QM1" s="55" t="s">
        <v>465</v>
      </c>
      <c r="QN1" s="55" t="s">
        <v>466</v>
      </c>
      <c r="QO1" s="55" t="s">
        <v>467</v>
      </c>
      <c r="QP1" s="55" t="s">
        <v>468</v>
      </c>
      <c r="QQ1" s="55" t="s">
        <v>469</v>
      </c>
      <c r="QR1" s="55" t="s">
        <v>470</v>
      </c>
      <c r="QS1" s="55" t="s">
        <v>471</v>
      </c>
      <c r="QT1" s="55" t="s">
        <v>472</v>
      </c>
      <c r="QU1" s="55" t="s">
        <v>473</v>
      </c>
      <c r="QV1" s="55" t="s">
        <v>474</v>
      </c>
      <c r="QW1" s="55" t="s">
        <v>475</v>
      </c>
      <c r="QX1" s="55" t="s">
        <v>476</v>
      </c>
      <c r="QY1" s="55" t="s">
        <v>477</v>
      </c>
      <c r="QZ1" s="55" t="s">
        <v>478</v>
      </c>
      <c r="RA1" s="55" t="s">
        <v>479</v>
      </c>
      <c r="RB1" s="55" t="s">
        <v>480</v>
      </c>
      <c r="RC1" s="55" t="s">
        <v>481</v>
      </c>
      <c r="RD1" s="55" t="s">
        <v>482</v>
      </c>
      <c r="RE1" s="55" t="s">
        <v>483</v>
      </c>
      <c r="RF1" s="55" t="s">
        <v>484</v>
      </c>
      <c r="RG1" s="55" t="s">
        <v>485</v>
      </c>
      <c r="RH1" s="55" t="s">
        <v>486</v>
      </c>
      <c r="RI1" s="55" t="s">
        <v>487</v>
      </c>
      <c r="RJ1" s="55" t="s">
        <v>488</v>
      </c>
      <c r="RK1" s="55" t="s">
        <v>489</v>
      </c>
      <c r="RL1" s="55" t="s">
        <v>490</v>
      </c>
      <c r="RM1" s="55" t="s">
        <v>491</v>
      </c>
      <c r="RN1" s="55" t="s">
        <v>492</v>
      </c>
      <c r="RO1" s="55" t="s">
        <v>493</v>
      </c>
      <c r="RP1" s="55" t="s">
        <v>494</v>
      </c>
      <c r="RQ1" s="55" t="s">
        <v>495</v>
      </c>
      <c r="RR1" s="55" t="s">
        <v>496</v>
      </c>
      <c r="RS1" s="55" t="s">
        <v>497</v>
      </c>
      <c r="RT1" s="55" t="s">
        <v>498</v>
      </c>
      <c r="RU1" s="55" t="s">
        <v>499</v>
      </c>
      <c r="RV1" s="55" t="s">
        <v>500</v>
      </c>
      <c r="RW1" s="55" t="s">
        <v>501</v>
      </c>
      <c r="RX1" s="55" t="s">
        <v>502</v>
      </c>
      <c r="RY1" s="55" t="s">
        <v>503</v>
      </c>
      <c r="RZ1" s="55" t="s">
        <v>504</v>
      </c>
      <c r="SA1" s="55" t="s">
        <v>505</v>
      </c>
      <c r="SB1" s="55" t="s">
        <v>506</v>
      </c>
      <c r="SC1" s="55" t="s">
        <v>507</v>
      </c>
      <c r="SD1" s="55" t="s">
        <v>508</v>
      </c>
      <c r="SE1" s="55" t="s">
        <v>509</v>
      </c>
      <c r="SF1" s="55" t="s">
        <v>510</v>
      </c>
      <c r="SG1" s="55" t="s">
        <v>511</v>
      </c>
      <c r="SH1" s="55" t="s">
        <v>512</v>
      </c>
      <c r="SI1" s="55" t="s">
        <v>513</v>
      </c>
      <c r="SJ1" s="55" t="s">
        <v>514</v>
      </c>
      <c r="SK1" s="6"/>
    </row>
    <row r="2" ht="14.25" customHeight="1">
      <c r="A2" s="57"/>
      <c r="B2" s="58" t="s">
        <v>515</v>
      </c>
      <c r="C2" s="59"/>
      <c r="D2" s="60"/>
      <c r="E2" s="61">
        <v>45809.0</v>
      </c>
      <c r="F2" s="61">
        <v>45809.0</v>
      </c>
      <c r="G2" s="61">
        <v>45809.0</v>
      </c>
      <c r="H2" s="61">
        <v>45810.0</v>
      </c>
      <c r="I2" s="61">
        <v>45812.0</v>
      </c>
      <c r="J2" s="61">
        <v>45818.0</v>
      </c>
      <c r="K2" s="61">
        <v>45818.0</v>
      </c>
      <c r="L2" s="61">
        <v>45818.0</v>
      </c>
      <c r="M2" s="61">
        <v>45820.0</v>
      </c>
      <c r="N2" s="61">
        <v>45824.0</v>
      </c>
      <c r="O2" s="61">
        <v>45824.0</v>
      </c>
      <c r="P2" s="61">
        <v>45825.0</v>
      </c>
      <c r="Q2" s="61">
        <v>45825.0</v>
      </c>
      <c r="R2" s="61">
        <v>45825.0</v>
      </c>
      <c r="S2" s="61">
        <v>45826.0</v>
      </c>
      <c r="T2" s="61">
        <v>45826.0</v>
      </c>
      <c r="U2" s="61">
        <v>45826.0</v>
      </c>
      <c r="V2" s="61">
        <v>45839.0</v>
      </c>
      <c r="W2" s="61">
        <v>45839.0</v>
      </c>
      <c r="X2" s="61">
        <v>45839.0</v>
      </c>
      <c r="Y2" s="61">
        <v>45839.0</v>
      </c>
      <c r="Z2" s="61">
        <v>45848.0</v>
      </c>
      <c r="AA2" s="61">
        <v>45848.0</v>
      </c>
      <c r="AB2" s="61">
        <v>45852.0</v>
      </c>
      <c r="AC2" s="61">
        <v>45855.0</v>
      </c>
      <c r="AD2" s="61">
        <v>45870.0</v>
      </c>
      <c r="AE2" s="61">
        <v>45870.0</v>
      </c>
      <c r="AF2" s="61">
        <v>45870.0</v>
      </c>
      <c r="AG2" s="61">
        <v>45880.0</v>
      </c>
      <c r="AH2" s="61">
        <v>45880.0</v>
      </c>
      <c r="AI2" s="61">
        <v>45880.0</v>
      </c>
      <c r="AJ2" s="61">
        <v>45887.0</v>
      </c>
      <c r="AK2" s="61">
        <v>45887.0</v>
      </c>
      <c r="AL2" s="61">
        <v>45887.0</v>
      </c>
      <c r="AM2" s="61">
        <v>45889.0</v>
      </c>
      <c r="AN2" s="61">
        <v>45891.0</v>
      </c>
      <c r="AO2" s="61">
        <v>45894.0</v>
      </c>
      <c r="AP2" s="61">
        <v>45897.0</v>
      </c>
      <c r="AQ2" s="61">
        <v>45901.0</v>
      </c>
      <c r="AR2" s="61">
        <v>45901.0</v>
      </c>
      <c r="AS2" s="61">
        <v>45902.0</v>
      </c>
      <c r="AT2" s="61">
        <v>45905.0</v>
      </c>
      <c r="AU2" s="61">
        <v>45905.0</v>
      </c>
      <c r="AV2" s="61">
        <v>45912.0</v>
      </c>
      <c r="AW2" s="61">
        <v>45912.0</v>
      </c>
      <c r="AX2" s="61">
        <v>45912.0</v>
      </c>
      <c r="AY2" s="61">
        <v>45915.0</v>
      </c>
      <c r="AZ2" s="61">
        <v>45915.0</v>
      </c>
      <c r="BA2" s="61">
        <v>45917.0</v>
      </c>
      <c r="BB2" s="61">
        <v>45917.0</v>
      </c>
      <c r="BC2" s="61">
        <v>45918.0</v>
      </c>
      <c r="BD2" s="61">
        <v>45919.0</v>
      </c>
      <c r="BE2" s="61">
        <v>45919.0</v>
      </c>
      <c r="BF2" s="61">
        <v>45922.0</v>
      </c>
      <c r="BG2" s="61">
        <v>45922.0</v>
      </c>
      <c r="BH2" s="61">
        <v>45922.0</v>
      </c>
      <c r="BI2" s="61">
        <v>45926.0</v>
      </c>
      <c r="BJ2" s="61">
        <v>45926.0</v>
      </c>
      <c r="BK2" s="61">
        <v>45931.0</v>
      </c>
      <c r="BL2" s="61">
        <v>45667.0</v>
      </c>
      <c r="BM2" s="61">
        <v>45931.0</v>
      </c>
      <c r="BN2" s="61">
        <v>45931.0</v>
      </c>
      <c r="BO2" s="61">
        <v>45931.0</v>
      </c>
      <c r="BP2" s="61">
        <v>45943.0</v>
      </c>
      <c r="BQ2" s="61">
        <v>45944.0</v>
      </c>
      <c r="BR2" s="61">
        <v>45945.0</v>
      </c>
      <c r="BS2" s="61">
        <v>45947.0</v>
      </c>
      <c r="BT2" s="61">
        <v>45950.0</v>
      </c>
      <c r="BU2" s="61">
        <v>45958.0</v>
      </c>
      <c r="BV2" s="61">
        <v>45959.0</v>
      </c>
      <c r="BW2" s="61">
        <v>45961.0</v>
      </c>
      <c r="BX2" s="61">
        <v>45961.0</v>
      </c>
      <c r="BY2" s="61">
        <v>45962.0</v>
      </c>
      <c r="BZ2" s="61">
        <v>45962.0</v>
      </c>
      <c r="CA2" s="61">
        <v>45964.0</v>
      </c>
      <c r="CB2" s="61">
        <v>45975.0</v>
      </c>
      <c r="CC2" s="61">
        <v>45978.0</v>
      </c>
      <c r="CD2" s="61">
        <v>45982.0</v>
      </c>
      <c r="CE2" s="61">
        <v>45982.0</v>
      </c>
      <c r="CF2" s="61">
        <v>45982.0</v>
      </c>
      <c r="CG2" s="61">
        <v>45982.0</v>
      </c>
      <c r="CH2" s="61">
        <v>45982.0</v>
      </c>
      <c r="CI2" s="61">
        <v>45985.0</v>
      </c>
      <c r="CJ2" s="61">
        <v>45985.0</v>
      </c>
      <c r="CK2" s="61">
        <v>45987.0</v>
      </c>
      <c r="CL2" s="61">
        <v>45988.0</v>
      </c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62"/>
      <c r="DN2" s="62"/>
      <c r="DO2" s="62"/>
      <c r="DP2" s="62"/>
      <c r="DQ2" s="62"/>
      <c r="DR2" s="62"/>
      <c r="DS2" s="62"/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62"/>
      <c r="FD2" s="62"/>
      <c r="FE2" s="62"/>
      <c r="FF2" s="62"/>
      <c r="FG2" s="62"/>
      <c r="FH2" s="62"/>
      <c r="FI2" s="62"/>
      <c r="FJ2" s="62"/>
      <c r="FK2" s="62"/>
      <c r="FL2" s="62"/>
      <c r="FM2" s="62"/>
      <c r="FN2" s="62"/>
      <c r="FO2" s="62"/>
      <c r="FP2" s="62"/>
      <c r="FQ2" s="62"/>
      <c r="FR2" s="62"/>
      <c r="FS2" s="62"/>
      <c r="FT2" s="62"/>
      <c r="FU2" s="62"/>
      <c r="FV2" s="62"/>
      <c r="FW2" s="62"/>
      <c r="FX2" s="62"/>
      <c r="FY2" s="62"/>
      <c r="FZ2" s="62"/>
      <c r="GA2" s="62"/>
      <c r="GB2" s="62"/>
      <c r="GC2" s="62"/>
      <c r="GD2" s="62"/>
      <c r="GE2" s="62"/>
      <c r="GF2" s="62"/>
      <c r="GG2" s="62"/>
      <c r="GH2" s="62"/>
      <c r="GI2" s="62"/>
      <c r="GJ2" s="62"/>
      <c r="GK2" s="62"/>
      <c r="GL2" s="62"/>
      <c r="GM2" s="62"/>
      <c r="GN2" s="62"/>
      <c r="GO2" s="62"/>
      <c r="GP2" s="62"/>
      <c r="GQ2" s="62"/>
      <c r="GR2" s="62"/>
      <c r="GS2" s="62"/>
      <c r="GT2" s="62"/>
      <c r="GU2" s="62"/>
      <c r="GV2" s="62"/>
      <c r="GW2" s="62"/>
      <c r="GX2" s="62"/>
      <c r="GY2" s="62"/>
      <c r="GZ2" s="62"/>
      <c r="HA2" s="62"/>
      <c r="HB2" s="62"/>
      <c r="HC2" s="62"/>
      <c r="HD2" s="62"/>
      <c r="HE2" s="62"/>
      <c r="HF2" s="62"/>
      <c r="HG2" s="62"/>
      <c r="HH2" s="62"/>
      <c r="HI2" s="62"/>
      <c r="HJ2" s="62"/>
      <c r="HK2" s="62"/>
      <c r="HL2" s="62"/>
      <c r="HM2" s="62"/>
      <c r="HN2" s="62"/>
      <c r="HO2" s="62"/>
      <c r="HP2" s="62"/>
      <c r="HQ2" s="62"/>
      <c r="HR2" s="62"/>
      <c r="HS2" s="62"/>
      <c r="HT2" s="62"/>
      <c r="HU2" s="62"/>
      <c r="HV2" s="62"/>
      <c r="HW2" s="62"/>
      <c r="HX2" s="62"/>
      <c r="HY2" s="62"/>
      <c r="HZ2" s="62"/>
      <c r="IA2" s="62"/>
      <c r="IB2" s="62"/>
      <c r="IC2" s="62"/>
      <c r="ID2" s="62"/>
      <c r="IE2" s="62"/>
      <c r="IF2" s="62"/>
      <c r="IG2" s="62"/>
      <c r="IH2" s="62"/>
      <c r="II2" s="62"/>
      <c r="IJ2" s="62"/>
      <c r="IK2" s="62"/>
      <c r="IL2" s="62"/>
      <c r="IM2" s="62"/>
      <c r="IN2" s="62"/>
      <c r="IO2" s="62"/>
      <c r="IP2" s="62"/>
      <c r="IQ2" s="62"/>
      <c r="IR2" s="62"/>
      <c r="IS2" s="62"/>
      <c r="IT2" s="62"/>
      <c r="IU2" s="62"/>
      <c r="IV2" s="62"/>
      <c r="IW2" s="62"/>
      <c r="IX2" s="62"/>
      <c r="IY2" s="62"/>
      <c r="IZ2" s="62"/>
      <c r="JA2" s="62"/>
      <c r="JB2" s="62"/>
      <c r="JC2" s="62"/>
      <c r="JD2" s="62"/>
      <c r="JE2" s="62"/>
      <c r="JF2" s="62"/>
      <c r="JG2" s="62"/>
      <c r="JH2" s="62"/>
      <c r="JI2" s="62"/>
      <c r="JJ2" s="62"/>
      <c r="JK2" s="62"/>
      <c r="JL2" s="62"/>
      <c r="JM2" s="62"/>
      <c r="JN2" s="62"/>
      <c r="JO2" s="62"/>
      <c r="JP2" s="62"/>
      <c r="JQ2" s="62"/>
      <c r="JR2" s="62"/>
      <c r="JS2" s="62"/>
      <c r="JT2" s="62"/>
      <c r="JU2" s="62"/>
      <c r="JV2" s="62"/>
      <c r="JW2" s="62"/>
      <c r="JX2" s="62"/>
      <c r="JY2" s="62"/>
      <c r="JZ2" s="62"/>
      <c r="KA2" s="62"/>
      <c r="KB2" s="62"/>
      <c r="KC2" s="62"/>
      <c r="KD2" s="62"/>
      <c r="KE2" s="62"/>
      <c r="KF2" s="62"/>
      <c r="KG2" s="62"/>
      <c r="KH2" s="62"/>
      <c r="KI2" s="62"/>
      <c r="KJ2" s="62"/>
      <c r="KK2" s="62"/>
      <c r="KL2" s="62"/>
      <c r="KM2" s="62"/>
      <c r="KN2" s="62"/>
      <c r="KO2" s="62"/>
      <c r="KP2" s="62"/>
      <c r="KQ2" s="62"/>
      <c r="KR2" s="62"/>
      <c r="KS2" s="62"/>
      <c r="KT2" s="62"/>
      <c r="KU2" s="62"/>
      <c r="KV2" s="62"/>
      <c r="KW2" s="62"/>
      <c r="KX2" s="62"/>
      <c r="KY2" s="62"/>
      <c r="KZ2" s="62"/>
      <c r="LA2" s="62"/>
      <c r="LB2" s="62"/>
      <c r="LC2" s="62"/>
      <c r="LD2" s="62"/>
      <c r="LE2" s="62"/>
      <c r="LF2" s="62"/>
      <c r="LG2" s="62"/>
      <c r="LH2" s="62"/>
      <c r="LI2" s="62"/>
      <c r="LJ2" s="62"/>
      <c r="LK2" s="62"/>
      <c r="LL2" s="62"/>
      <c r="LM2" s="62"/>
      <c r="LN2" s="62"/>
      <c r="LO2" s="62"/>
      <c r="LP2" s="62"/>
      <c r="LQ2" s="62"/>
      <c r="LR2" s="62"/>
      <c r="LS2" s="62"/>
      <c r="LT2" s="62"/>
      <c r="LU2" s="62"/>
      <c r="LV2" s="62"/>
      <c r="LW2" s="62"/>
      <c r="LX2" s="62"/>
      <c r="LY2" s="62"/>
      <c r="LZ2" s="62"/>
      <c r="MA2" s="62"/>
      <c r="MB2" s="62"/>
      <c r="MC2" s="62"/>
      <c r="MD2" s="62"/>
      <c r="ME2" s="62"/>
      <c r="MF2" s="62"/>
      <c r="MG2" s="62"/>
      <c r="MH2" s="62"/>
      <c r="MI2" s="62"/>
      <c r="MJ2" s="62"/>
      <c r="MK2" s="62"/>
      <c r="ML2" s="62"/>
      <c r="MM2" s="62"/>
      <c r="MN2" s="62"/>
      <c r="MO2" s="62"/>
      <c r="MP2" s="62"/>
      <c r="MQ2" s="62"/>
      <c r="MR2" s="62"/>
      <c r="MS2" s="62"/>
      <c r="MT2" s="62"/>
      <c r="MU2" s="62"/>
      <c r="MV2" s="62"/>
      <c r="MW2" s="62"/>
      <c r="MX2" s="62"/>
      <c r="MY2" s="62"/>
      <c r="MZ2" s="62"/>
      <c r="NA2" s="62"/>
      <c r="NB2" s="62"/>
      <c r="NC2" s="62"/>
      <c r="ND2" s="62"/>
      <c r="NE2" s="62"/>
      <c r="NF2" s="62"/>
      <c r="NG2" s="62"/>
      <c r="NH2" s="62"/>
      <c r="NI2" s="62"/>
      <c r="NJ2" s="62"/>
      <c r="NK2" s="62"/>
      <c r="NL2" s="62"/>
      <c r="NM2" s="62"/>
      <c r="NN2" s="62"/>
      <c r="NO2" s="62"/>
      <c r="NP2" s="62"/>
      <c r="NQ2" s="62"/>
      <c r="NR2" s="62"/>
      <c r="NS2" s="62"/>
      <c r="NT2" s="62"/>
      <c r="NU2" s="62"/>
      <c r="NV2" s="62"/>
      <c r="NW2" s="62"/>
      <c r="NX2" s="62"/>
      <c r="NY2" s="62"/>
      <c r="NZ2" s="62"/>
      <c r="OA2" s="62"/>
      <c r="OB2" s="62"/>
      <c r="OC2" s="62"/>
      <c r="OD2" s="62"/>
      <c r="OE2" s="62"/>
      <c r="OF2" s="62"/>
      <c r="OG2" s="62"/>
      <c r="OH2" s="62"/>
      <c r="OI2" s="62"/>
      <c r="OJ2" s="62"/>
      <c r="OK2" s="62"/>
      <c r="OL2" s="62"/>
      <c r="OM2" s="62"/>
      <c r="ON2" s="62"/>
      <c r="OO2" s="62"/>
      <c r="OP2" s="62"/>
      <c r="OQ2" s="62"/>
      <c r="OR2" s="62"/>
      <c r="OS2" s="62"/>
      <c r="OT2" s="62"/>
      <c r="OU2" s="62"/>
      <c r="OV2" s="62"/>
      <c r="OW2" s="62"/>
      <c r="OX2" s="62"/>
      <c r="OY2" s="62"/>
      <c r="OZ2" s="62"/>
      <c r="PA2" s="62"/>
      <c r="PB2" s="62"/>
      <c r="PC2" s="62"/>
      <c r="PD2" s="62"/>
      <c r="PE2" s="62"/>
      <c r="PF2" s="62"/>
      <c r="PG2" s="62"/>
      <c r="PH2" s="62"/>
      <c r="PI2" s="62"/>
      <c r="PJ2" s="62"/>
      <c r="PK2" s="62"/>
      <c r="PL2" s="62"/>
      <c r="PM2" s="62"/>
      <c r="PN2" s="62"/>
      <c r="PO2" s="62"/>
      <c r="PP2" s="62"/>
      <c r="PQ2" s="62"/>
      <c r="PR2" s="62"/>
      <c r="PS2" s="62"/>
      <c r="PT2" s="62"/>
      <c r="PU2" s="62"/>
      <c r="PV2" s="62"/>
      <c r="PW2" s="62"/>
      <c r="PX2" s="62"/>
      <c r="PY2" s="62"/>
      <c r="PZ2" s="62"/>
      <c r="QA2" s="62"/>
      <c r="QB2" s="62"/>
      <c r="QC2" s="62"/>
      <c r="QD2" s="62"/>
      <c r="QE2" s="62"/>
      <c r="QF2" s="62"/>
      <c r="QG2" s="62"/>
      <c r="QH2" s="62"/>
      <c r="QI2" s="62"/>
      <c r="QJ2" s="62"/>
      <c r="QK2" s="62"/>
      <c r="QL2" s="62"/>
      <c r="QM2" s="62"/>
      <c r="QN2" s="62"/>
      <c r="QO2" s="62"/>
      <c r="QP2" s="62"/>
      <c r="QQ2" s="62"/>
      <c r="QR2" s="62"/>
      <c r="QS2" s="62"/>
      <c r="QT2" s="62"/>
      <c r="QU2" s="62"/>
      <c r="QV2" s="62"/>
      <c r="QW2" s="62"/>
      <c r="QX2" s="62"/>
      <c r="QY2" s="62"/>
      <c r="QZ2" s="62"/>
      <c r="RA2" s="62"/>
      <c r="RB2" s="62"/>
      <c r="RC2" s="62"/>
      <c r="RD2" s="62"/>
      <c r="RE2" s="62"/>
      <c r="RF2" s="62"/>
      <c r="RG2" s="62"/>
      <c r="RH2" s="62"/>
      <c r="RI2" s="62"/>
      <c r="RJ2" s="62"/>
      <c r="RK2" s="62"/>
      <c r="RL2" s="62"/>
      <c r="RM2" s="62"/>
      <c r="RN2" s="62"/>
      <c r="RO2" s="62"/>
      <c r="RP2" s="62"/>
      <c r="RQ2" s="62"/>
      <c r="RR2" s="62"/>
      <c r="RS2" s="62"/>
      <c r="RT2" s="62"/>
      <c r="RU2" s="62"/>
      <c r="RV2" s="62"/>
      <c r="RW2" s="62"/>
      <c r="RX2" s="62"/>
      <c r="RY2" s="62"/>
      <c r="RZ2" s="62"/>
      <c r="SA2" s="62"/>
      <c r="SB2" s="62"/>
      <c r="SC2" s="62"/>
      <c r="SD2" s="62"/>
      <c r="SE2" s="62"/>
      <c r="SF2" s="62"/>
      <c r="SG2" s="62"/>
      <c r="SH2" s="62"/>
      <c r="SI2" s="62"/>
      <c r="SJ2" s="62"/>
      <c r="SK2" s="63"/>
    </row>
    <row r="3" ht="30.75" customHeight="1">
      <c r="A3" s="64"/>
      <c r="B3" s="58" t="s">
        <v>516</v>
      </c>
      <c r="C3" s="59"/>
      <c r="D3" s="60"/>
      <c r="E3" s="65" t="s">
        <v>517</v>
      </c>
      <c r="F3" s="65" t="s">
        <v>518</v>
      </c>
      <c r="G3" s="65" t="s">
        <v>519</v>
      </c>
      <c r="H3" s="65" t="s">
        <v>520</v>
      </c>
      <c r="I3" s="65" t="s">
        <v>521</v>
      </c>
      <c r="J3" s="65" t="s">
        <v>521</v>
      </c>
      <c r="K3" s="65" t="s">
        <v>522</v>
      </c>
      <c r="L3" s="65" t="s">
        <v>523</v>
      </c>
      <c r="M3" s="65" t="s">
        <v>524</v>
      </c>
      <c r="N3" s="65" t="s">
        <v>525</v>
      </c>
      <c r="O3" s="65" t="s">
        <v>522</v>
      </c>
      <c r="P3" s="65" t="s">
        <v>526</v>
      </c>
      <c r="Q3" s="65" t="s">
        <v>521</v>
      </c>
      <c r="R3" s="65" t="s">
        <v>527</v>
      </c>
      <c r="S3" s="65" t="s">
        <v>528</v>
      </c>
      <c r="T3" s="65" t="s">
        <v>522</v>
      </c>
      <c r="U3" s="65" t="s">
        <v>529</v>
      </c>
      <c r="V3" s="65" t="s">
        <v>530</v>
      </c>
      <c r="W3" s="65" t="s">
        <v>531</v>
      </c>
      <c r="X3" s="65" t="s">
        <v>519</v>
      </c>
      <c r="Y3" s="65" t="s">
        <v>532</v>
      </c>
      <c r="Z3" s="65" t="s">
        <v>533</v>
      </c>
      <c r="AA3" s="65" t="s">
        <v>534</v>
      </c>
      <c r="AB3" s="65" t="s">
        <v>533</v>
      </c>
      <c r="AC3" s="65" t="s">
        <v>527</v>
      </c>
      <c r="AD3" s="65" t="s">
        <v>535</v>
      </c>
      <c r="AE3" s="65" t="s">
        <v>519</v>
      </c>
      <c r="AF3" s="65" t="s">
        <v>536</v>
      </c>
      <c r="AG3" s="65" t="s">
        <v>537</v>
      </c>
      <c r="AH3" s="65" t="s">
        <v>537</v>
      </c>
      <c r="AI3" s="65" t="s">
        <v>538</v>
      </c>
      <c r="AJ3" s="65" t="s">
        <v>537</v>
      </c>
      <c r="AK3" s="65" t="s">
        <v>537</v>
      </c>
      <c r="AL3" s="65" t="s">
        <v>527</v>
      </c>
      <c r="AM3" s="65" t="s">
        <v>539</v>
      </c>
      <c r="AN3" s="65" t="s">
        <v>522</v>
      </c>
      <c r="AO3" s="66" t="s">
        <v>540</v>
      </c>
      <c r="AP3" s="65" t="s">
        <v>541</v>
      </c>
      <c r="AQ3" s="65" t="s">
        <v>542</v>
      </c>
      <c r="AR3" s="65" t="s">
        <v>519</v>
      </c>
      <c r="AS3" s="65" t="s">
        <v>543</v>
      </c>
      <c r="AT3" s="65" t="s">
        <v>544</v>
      </c>
      <c r="AU3" s="65" t="s">
        <v>545</v>
      </c>
      <c r="AV3" s="65" t="s">
        <v>522</v>
      </c>
      <c r="AW3" s="65" t="s">
        <v>546</v>
      </c>
      <c r="AX3" s="65" t="s">
        <v>547</v>
      </c>
      <c r="AY3" s="65" t="s">
        <v>548</v>
      </c>
      <c r="AZ3" s="65" t="s">
        <v>547</v>
      </c>
      <c r="BA3" s="65" t="s">
        <v>521</v>
      </c>
      <c r="BB3" s="65" t="s">
        <v>527</v>
      </c>
      <c r="BC3" s="65" t="s">
        <v>549</v>
      </c>
      <c r="BD3" s="65" t="s">
        <v>550</v>
      </c>
      <c r="BE3" s="65" t="s">
        <v>522</v>
      </c>
      <c r="BF3" s="65" t="s">
        <v>551</v>
      </c>
      <c r="BG3" s="65" t="s">
        <v>521</v>
      </c>
      <c r="BH3" s="65" t="s">
        <v>522</v>
      </c>
      <c r="BI3" s="65" t="s">
        <v>552</v>
      </c>
      <c r="BJ3" s="65" t="s">
        <v>553</v>
      </c>
      <c r="BK3" s="65" t="s">
        <v>554</v>
      </c>
      <c r="BL3" s="65" t="s">
        <v>519</v>
      </c>
      <c r="BM3" s="65" t="s">
        <v>555</v>
      </c>
      <c r="BN3" s="65" t="s">
        <v>556</v>
      </c>
      <c r="BO3" s="65" t="s">
        <v>557</v>
      </c>
      <c r="BP3" s="65" t="s">
        <v>545</v>
      </c>
      <c r="BQ3" s="65" t="s">
        <v>544</v>
      </c>
      <c r="BR3" s="65" t="s">
        <v>521</v>
      </c>
      <c r="BS3" s="65" t="s">
        <v>527</v>
      </c>
      <c r="BT3" s="65" t="s">
        <v>558</v>
      </c>
      <c r="BU3" s="65" t="s">
        <v>559</v>
      </c>
      <c r="BV3" s="65" t="s">
        <v>545</v>
      </c>
      <c r="BW3" s="65" t="s">
        <v>544</v>
      </c>
      <c r="BX3" s="65" t="s">
        <v>556</v>
      </c>
      <c r="BY3" s="65" t="s">
        <v>560</v>
      </c>
      <c r="BZ3" s="65" t="s">
        <v>519</v>
      </c>
      <c r="CA3" s="65" t="s">
        <v>561</v>
      </c>
      <c r="CB3" s="65" t="s">
        <v>558</v>
      </c>
      <c r="CC3" s="65" t="s">
        <v>527</v>
      </c>
      <c r="CD3" s="65" t="s">
        <v>526</v>
      </c>
      <c r="CE3" s="65" t="s">
        <v>562</v>
      </c>
      <c r="CF3" s="65" t="s">
        <v>559</v>
      </c>
      <c r="CG3" s="65" t="s">
        <v>563</v>
      </c>
      <c r="CH3" s="65" t="s">
        <v>521</v>
      </c>
      <c r="CI3" s="65" t="s">
        <v>521</v>
      </c>
      <c r="CJ3" s="65" t="s">
        <v>528</v>
      </c>
      <c r="CK3" s="65" t="s">
        <v>521</v>
      </c>
      <c r="CL3" s="65" t="s">
        <v>541</v>
      </c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67"/>
      <c r="DN3" s="67"/>
      <c r="DO3" s="67"/>
      <c r="DP3" s="67"/>
      <c r="DQ3" s="67"/>
      <c r="DR3" s="67"/>
      <c r="DS3" s="67"/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67"/>
      <c r="FD3" s="67"/>
      <c r="FE3" s="67"/>
      <c r="FF3" s="67"/>
      <c r="FG3" s="67"/>
      <c r="FH3" s="67"/>
      <c r="FI3" s="67"/>
      <c r="FJ3" s="67"/>
      <c r="FK3" s="67"/>
      <c r="FL3" s="67"/>
      <c r="FM3" s="67"/>
      <c r="FN3" s="67"/>
      <c r="FO3" s="67"/>
      <c r="FP3" s="67"/>
      <c r="FQ3" s="67"/>
      <c r="FR3" s="67"/>
      <c r="FS3" s="67"/>
      <c r="FT3" s="67"/>
      <c r="FU3" s="67"/>
      <c r="FV3" s="67"/>
      <c r="FW3" s="67"/>
      <c r="FX3" s="67"/>
      <c r="FY3" s="67"/>
      <c r="FZ3" s="67"/>
      <c r="GA3" s="67"/>
      <c r="GB3" s="67"/>
      <c r="GC3" s="67"/>
      <c r="GD3" s="67"/>
      <c r="GE3" s="67"/>
      <c r="GF3" s="67"/>
      <c r="GG3" s="67"/>
      <c r="GH3" s="67"/>
      <c r="GI3" s="67"/>
      <c r="GJ3" s="67"/>
      <c r="GK3" s="67"/>
      <c r="GL3" s="67"/>
      <c r="GM3" s="67"/>
      <c r="GN3" s="67"/>
      <c r="GO3" s="67"/>
      <c r="GP3" s="67"/>
      <c r="GQ3" s="67"/>
      <c r="GR3" s="67"/>
      <c r="GS3" s="67"/>
      <c r="GT3" s="67"/>
      <c r="GU3" s="67"/>
      <c r="GV3" s="67"/>
      <c r="GW3" s="67"/>
      <c r="GX3" s="67"/>
      <c r="GY3" s="67"/>
      <c r="GZ3" s="67"/>
      <c r="HA3" s="67"/>
      <c r="HB3" s="67"/>
      <c r="HC3" s="67"/>
      <c r="HD3" s="67"/>
      <c r="HE3" s="67"/>
      <c r="HF3" s="67"/>
      <c r="HG3" s="67"/>
      <c r="HH3" s="67"/>
      <c r="HI3" s="67"/>
      <c r="HJ3" s="67"/>
      <c r="HK3" s="67"/>
      <c r="HL3" s="67"/>
      <c r="HM3" s="67"/>
      <c r="HN3" s="67"/>
      <c r="HO3" s="67"/>
      <c r="HP3" s="67"/>
      <c r="HQ3" s="67"/>
      <c r="HR3" s="67"/>
      <c r="HS3" s="67"/>
      <c r="HT3" s="67"/>
      <c r="HU3" s="67"/>
      <c r="HV3" s="67"/>
      <c r="HW3" s="67"/>
      <c r="HX3" s="67"/>
      <c r="HY3" s="67"/>
      <c r="HZ3" s="67"/>
      <c r="IA3" s="67"/>
      <c r="IB3" s="67"/>
      <c r="IC3" s="67"/>
      <c r="ID3" s="67"/>
      <c r="IE3" s="67"/>
      <c r="IF3" s="67"/>
      <c r="IG3" s="67"/>
      <c r="IH3" s="67"/>
      <c r="II3" s="67"/>
      <c r="IJ3" s="67"/>
      <c r="IK3" s="67"/>
      <c r="IL3" s="67"/>
      <c r="IM3" s="67"/>
      <c r="IN3" s="67"/>
      <c r="IO3" s="67"/>
      <c r="IP3" s="67"/>
      <c r="IQ3" s="67"/>
      <c r="IR3" s="67"/>
      <c r="IS3" s="67"/>
      <c r="IT3" s="67"/>
      <c r="IU3" s="67"/>
      <c r="IV3" s="67"/>
      <c r="IW3" s="67"/>
      <c r="IX3" s="67"/>
      <c r="IY3" s="67"/>
      <c r="IZ3" s="67"/>
      <c r="JA3" s="67"/>
      <c r="JB3" s="67"/>
      <c r="JC3" s="67"/>
      <c r="JD3" s="67"/>
      <c r="JE3" s="67"/>
      <c r="JF3" s="67"/>
      <c r="JG3" s="67"/>
      <c r="JH3" s="67"/>
      <c r="JI3" s="67"/>
      <c r="JJ3" s="67"/>
      <c r="JK3" s="67"/>
      <c r="JL3" s="67"/>
      <c r="JM3" s="67"/>
      <c r="JN3" s="67"/>
      <c r="JO3" s="67"/>
      <c r="JP3" s="67"/>
      <c r="JQ3" s="67"/>
      <c r="JR3" s="67"/>
      <c r="JS3" s="67"/>
      <c r="JT3" s="67"/>
      <c r="JU3" s="67"/>
      <c r="JV3" s="67"/>
      <c r="JW3" s="67"/>
      <c r="JX3" s="67"/>
      <c r="JY3" s="67"/>
      <c r="JZ3" s="67"/>
      <c r="KA3" s="67"/>
      <c r="KB3" s="67"/>
      <c r="KC3" s="67"/>
      <c r="KD3" s="67"/>
      <c r="KE3" s="67"/>
      <c r="KF3" s="67"/>
      <c r="KG3" s="67"/>
      <c r="KH3" s="67"/>
      <c r="KI3" s="67"/>
      <c r="KJ3" s="67"/>
      <c r="KK3" s="67"/>
      <c r="KL3" s="67"/>
      <c r="KM3" s="67"/>
      <c r="KN3" s="67"/>
      <c r="KO3" s="67"/>
      <c r="KP3" s="67"/>
      <c r="KQ3" s="67"/>
      <c r="KR3" s="67"/>
      <c r="KS3" s="67"/>
      <c r="KT3" s="67"/>
      <c r="KU3" s="67"/>
      <c r="KV3" s="67"/>
      <c r="KW3" s="67"/>
      <c r="KX3" s="67"/>
      <c r="KY3" s="67"/>
      <c r="KZ3" s="67"/>
      <c r="LA3" s="67"/>
      <c r="LB3" s="67"/>
      <c r="LC3" s="67"/>
      <c r="LD3" s="67"/>
      <c r="LE3" s="67"/>
      <c r="LF3" s="67"/>
      <c r="LG3" s="67"/>
      <c r="LH3" s="67"/>
      <c r="LI3" s="67"/>
      <c r="LJ3" s="67"/>
      <c r="LK3" s="67"/>
      <c r="LL3" s="67"/>
      <c r="LM3" s="67"/>
      <c r="LN3" s="67"/>
      <c r="LO3" s="67"/>
      <c r="LP3" s="67"/>
      <c r="LQ3" s="67"/>
      <c r="LR3" s="67"/>
      <c r="LS3" s="67"/>
      <c r="LT3" s="67"/>
      <c r="LU3" s="67"/>
      <c r="LV3" s="67"/>
      <c r="LW3" s="67"/>
      <c r="LX3" s="67"/>
      <c r="LY3" s="67"/>
      <c r="LZ3" s="67"/>
      <c r="MA3" s="67"/>
      <c r="MB3" s="67"/>
      <c r="MC3" s="67"/>
      <c r="MD3" s="67"/>
      <c r="ME3" s="67"/>
      <c r="MF3" s="67"/>
      <c r="MG3" s="67"/>
      <c r="MH3" s="67"/>
      <c r="MI3" s="67"/>
      <c r="MJ3" s="67"/>
      <c r="MK3" s="67"/>
      <c r="ML3" s="67"/>
      <c r="MM3" s="67"/>
      <c r="MN3" s="67"/>
      <c r="MO3" s="67"/>
      <c r="MP3" s="67"/>
      <c r="MQ3" s="67"/>
      <c r="MR3" s="67"/>
      <c r="MS3" s="67"/>
      <c r="MT3" s="67"/>
      <c r="MU3" s="67"/>
      <c r="MV3" s="67"/>
      <c r="MW3" s="67"/>
      <c r="MX3" s="67"/>
      <c r="MY3" s="67"/>
      <c r="MZ3" s="67"/>
      <c r="NA3" s="67"/>
      <c r="NB3" s="67"/>
      <c r="NC3" s="67"/>
      <c r="ND3" s="67"/>
      <c r="NE3" s="67"/>
      <c r="NF3" s="67"/>
      <c r="NG3" s="67"/>
      <c r="NH3" s="67"/>
      <c r="NI3" s="67"/>
      <c r="NJ3" s="67"/>
      <c r="NK3" s="67"/>
      <c r="NL3" s="67"/>
      <c r="NM3" s="67"/>
      <c r="NN3" s="67"/>
      <c r="NO3" s="67"/>
      <c r="NP3" s="67"/>
      <c r="NQ3" s="67"/>
      <c r="NR3" s="67"/>
      <c r="NS3" s="67"/>
      <c r="NT3" s="67"/>
      <c r="NU3" s="67"/>
      <c r="NV3" s="67"/>
      <c r="NW3" s="67"/>
      <c r="NX3" s="67"/>
      <c r="NY3" s="67"/>
      <c r="NZ3" s="67"/>
      <c r="OA3" s="67"/>
      <c r="OB3" s="67"/>
      <c r="OC3" s="67"/>
      <c r="OD3" s="67"/>
      <c r="OE3" s="67"/>
      <c r="OF3" s="67"/>
      <c r="OG3" s="67"/>
      <c r="OH3" s="67"/>
      <c r="OI3" s="67"/>
      <c r="OJ3" s="67"/>
      <c r="OK3" s="67"/>
      <c r="OL3" s="67"/>
      <c r="OM3" s="67"/>
      <c r="ON3" s="67"/>
      <c r="OO3" s="67"/>
      <c r="OP3" s="67"/>
      <c r="OQ3" s="67"/>
      <c r="OR3" s="67"/>
      <c r="OS3" s="67"/>
      <c r="OT3" s="67"/>
      <c r="OU3" s="67"/>
      <c r="OV3" s="67"/>
      <c r="OW3" s="67"/>
      <c r="OX3" s="67"/>
      <c r="OY3" s="67"/>
      <c r="OZ3" s="67"/>
      <c r="PA3" s="67"/>
      <c r="PB3" s="67"/>
      <c r="PC3" s="67"/>
      <c r="PD3" s="67"/>
      <c r="PE3" s="67"/>
      <c r="PF3" s="67"/>
      <c r="PG3" s="67"/>
      <c r="PH3" s="67"/>
      <c r="PI3" s="67"/>
      <c r="PJ3" s="67"/>
      <c r="PK3" s="67"/>
      <c r="PL3" s="67"/>
      <c r="PM3" s="67"/>
      <c r="PN3" s="67"/>
      <c r="PO3" s="67"/>
      <c r="PP3" s="67"/>
      <c r="PQ3" s="67"/>
      <c r="PR3" s="67"/>
      <c r="PS3" s="67"/>
      <c r="PT3" s="67"/>
      <c r="PU3" s="67"/>
      <c r="PV3" s="67"/>
      <c r="PW3" s="67"/>
      <c r="PX3" s="67"/>
      <c r="PY3" s="67"/>
      <c r="PZ3" s="67"/>
      <c r="QA3" s="67"/>
      <c r="QB3" s="67"/>
      <c r="QC3" s="67"/>
      <c r="QD3" s="67"/>
      <c r="QE3" s="67"/>
      <c r="QF3" s="67"/>
      <c r="QG3" s="67"/>
      <c r="QH3" s="67"/>
      <c r="QI3" s="67"/>
      <c r="QJ3" s="67"/>
      <c r="QK3" s="67"/>
      <c r="QL3" s="67"/>
      <c r="QM3" s="67"/>
      <c r="QN3" s="67"/>
      <c r="QO3" s="67"/>
      <c r="QP3" s="67"/>
      <c r="QQ3" s="67"/>
      <c r="QR3" s="67"/>
      <c r="QS3" s="67"/>
      <c r="QT3" s="67"/>
      <c r="QU3" s="67"/>
      <c r="QV3" s="67"/>
      <c r="QW3" s="67"/>
      <c r="QX3" s="67"/>
      <c r="QY3" s="67"/>
      <c r="QZ3" s="67"/>
      <c r="RA3" s="67"/>
      <c r="RB3" s="67"/>
      <c r="RC3" s="67"/>
      <c r="RD3" s="67"/>
      <c r="RE3" s="67"/>
      <c r="RF3" s="67"/>
      <c r="RG3" s="67"/>
      <c r="RH3" s="67"/>
      <c r="RI3" s="67"/>
      <c r="RJ3" s="67"/>
      <c r="RK3" s="67"/>
      <c r="RL3" s="67"/>
      <c r="RM3" s="67"/>
      <c r="RN3" s="67"/>
      <c r="RO3" s="67"/>
      <c r="RP3" s="67"/>
      <c r="RQ3" s="67"/>
      <c r="RR3" s="67"/>
      <c r="RS3" s="67"/>
      <c r="RT3" s="67"/>
      <c r="RU3" s="67"/>
      <c r="RV3" s="67"/>
      <c r="RW3" s="67"/>
      <c r="RX3" s="67"/>
      <c r="RY3" s="67"/>
      <c r="RZ3" s="67"/>
      <c r="SA3" s="67"/>
      <c r="SB3" s="67"/>
      <c r="SC3" s="67"/>
      <c r="SD3" s="67"/>
      <c r="SE3" s="67"/>
      <c r="SF3" s="67"/>
      <c r="SG3" s="67"/>
      <c r="SH3" s="67"/>
      <c r="SI3" s="67"/>
      <c r="SJ3" s="67"/>
      <c r="SK3" s="6"/>
    </row>
    <row r="4" ht="14.25" customHeight="1">
      <c r="A4" s="68"/>
      <c r="B4" s="69" t="s">
        <v>564</v>
      </c>
      <c r="C4" s="69" t="s">
        <v>565</v>
      </c>
      <c r="D4" s="69" t="s">
        <v>566</v>
      </c>
      <c r="E4" s="69" t="s">
        <v>15</v>
      </c>
      <c r="F4" s="69" t="s">
        <v>16</v>
      </c>
      <c r="G4" s="69" t="s">
        <v>17</v>
      </c>
      <c r="H4" s="69" t="s">
        <v>18</v>
      </c>
      <c r="I4" s="69" t="s">
        <v>19</v>
      </c>
      <c r="J4" s="69" t="s">
        <v>20</v>
      </c>
      <c r="K4" s="69" t="s">
        <v>21</v>
      </c>
      <c r="L4" s="69" t="s">
        <v>22</v>
      </c>
      <c r="M4" s="69" t="s">
        <v>23</v>
      </c>
      <c r="N4" s="69" t="s">
        <v>24</v>
      </c>
      <c r="O4" s="69" t="s">
        <v>25</v>
      </c>
      <c r="P4" s="69" t="s">
        <v>26</v>
      </c>
      <c r="Q4" s="69" t="s">
        <v>27</v>
      </c>
      <c r="R4" s="69" t="s">
        <v>28</v>
      </c>
      <c r="S4" s="69" t="s">
        <v>29</v>
      </c>
      <c r="T4" s="69" t="s">
        <v>30</v>
      </c>
      <c r="U4" s="69" t="s">
        <v>31</v>
      </c>
      <c r="V4" s="69" t="s">
        <v>32</v>
      </c>
      <c r="W4" s="69" t="s">
        <v>33</v>
      </c>
      <c r="X4" s="69" t="s">
        <v>34</v>
      </c>
      <c r="Y4" s="69" t="s">
        <v>35</v>
      </c>
      <c r="Z4" s="69" t="s">
        <v>36</v>
      </c>
      <c r="AA4" s="69" t="s">
        <v>37</v>
      </c>
      <c r="AB4" s="69" t="s">
        <v>38</v>
      </c>
      <c r="AC4" s="69" t="s">
        <v>39</v>
      </c>
      <c r="AD4" s="69" t="s">
        <v>40</v>
      </c>
      <c r="AE4" s="69" t="s">
        <v>41</v>
      </c>
      <c r="AF4" s="69" t="s">
        <v>42</v>
      </c>
      <c r="AG4" s="69" t="s">
        <v>43</v>
      </c>
      <c r="AH4" s="69" t="s">
        <v>44</v>
      </c>
      <c r="AI4" s="69" t="s">
        <v>45</v>
      </c>
      <c r="AJ4" s="69" t="s">
        <v>46</v>
      </c>
      <c r="AK4" s="69" t="s">
        <v>47</v>
      </c>
      <c r="AL4" s="69" t="s">
        <v>48</v>
      </c>
      <c r="AM4" s="69" t="s">
        <v>49</v>
      </c>
      <c r="AN4" s="69" t="s">
        <v>50</v>
      </c>
      <c r="AO4" s="69" t="s">
        <v>51</v>
      </c>
      <c r="AP4" s="69" t="s">
        <v>52</v>
      </c>
      <c r="AQ4" s="69" t="s">
        <v>53</v>
      </c>
      <c r="AR4" s="69" t="s">
        <v>54</v>
      </c>
      <c r="AS4" s="69" t="s">
        <v>55</v>
      </c>
      <c r="AT4" s="69" t="s">
        <v>56</v>
      </c>
      <c r="AU4" s="69" t="s">
        <v>57</v>
      </c>
      <c r="AV4" s="69" t="s">
        <v>58</v>
      </c>
      <c r="AW4" s="69" t="s">
        <v>59</v>
      </c>
      <c r="AX4" s="69" t="s">
        <v>60</v>
      </c>
      <c r="AY4" s="69" t="s">
        <v>61</v>
      </c>
      <c r="AZ4" s="69" t="s">
        <v>62</v>
      </c>
      <c r="BA4" s="69" t="s">
        <v>63</v>
      </c>
      <c r="BB4" s="69" t="s">
        <v>64</v>
      </c>
      <c r="BC4" s="69" t="s">
        <v>65</v>
      </c>
      <c r="BD4" s="69" t="s">
        <v>66</v>
      </c>
      <c r="BE4" s="69" t="s">
        <v>67</v>
      </c>
      <c r="BF4" s="69" t="s">
        <v>68</v>
      </c>
      <c r="BG4" s="69" t="s">
        <v>69</v>
      </c>
      <c r="BH4" s="69" t="s">
        <v>70</v>
      </c>
      <c r="BI4" s="69" t="s">
        <v>71</v>
      </c>
      <c r="BJ4" s="69" t="s">
        <v>72</v>
      </c>
      <c r="BK4" s="69" t="s">
        <v>73</v>
      </c>
      <c r="BL4" s="69" t="s">
        <v>74</v>
      </c>
      <c r="BM4" s="69" t="s">
        <v>75</v>
      </c>
      <c r="BN4" s="69" t="s">
        <v>76</v>
      </c>
      <c r="BO4" s="69" t="s">
        <v>77</v>
      </c>
      <c r="BP4" s="69" t="s">
        <v>78</v>
      </c>
      <c r="BQ4" s="69" t="s">
        <v>79</v>
      </c>
      <c r="BR4" s="69" t="s">
        <v>80</v>
      </c>
      <c r="BS4" s="69" t="s">
        <v>81</v>
      </c>
      <c r="BT4" s="69" t="s">
        <v>82</v>
      </c>
      <c r="BU4" s="69" t="s">
        <v>83</v>
      </c>
      <c r="BV4" s="69" t="s">
        <v>84</v>
      </c>
      <c r="BW4" s="69" t="s">
        <v>85</v>
      </c>
      <c r="BX4" s="69" t="s">
        <v>86</v>
      </c>
      <c r="BY4" s="69" t="s">
        <v>87</v>
      </c>
      <c r="BZ4" s="69" t="s">
        <v>88</v>
      </c>
      <c r="CA4" s="69" t="s">
        <v>89</v>
      </c>
      <c r="CB4" s="69" t="s">
        <v>90</v>
      </c>
      <c r="CC4" s="69" t="s">
        <v>91</v>
      </c>
      <c r="CD4" s="69" t="s">
        <v>92</v>
      </c>
      <c r="CE4" s="69" t="s">
        <v>93</v>
      </c>
      <c r="CF4" s="69" t="s">
        <v>94</v>
      </c>
      <c r="CG4" s="69" t="s">
        <v>95</v>
      </c>
      <c r="CH4" s="69" t="s">
        <v>96</v>
      </c>
      <c r="CI4" s="69" t="s">
        <v>97</v>
      </c>
      <c r="CJ4" s="69" t="s">
        <v>98</v>
      </c>
      <c r="CK4" s="69" t="s">
        <v>99</v>
      </c>
      <c r="CL4" s="69" t="s">
        <v>100</v>
      </c>
      <c r="CM4" s="69" t="s">
        <v>101</v>
      </c>
      <c r="CN4" s="69" t="s">
        <v>102</v>
      </c>
      <c r="CO4" s="69" t="s">
        <v>103</v>
      </c>
      <c r="CP4" s="69" t="s">
        <v>104</v>
      </c>
      <c r="CQ4" s="69" t="s">
        <v>105</v>
      </c>
      <c r="CR4" s="69" t="s">
        <v>106</v>
      </c>
      <c r="CS4" s="69" t="s">
        <v>107</v>
      </c>
      <c r="CT4" s="69" t="s">
        <v>108</v>
      </c>
      <c r="CU4" s="69" t="s">
        <v>109</v>
      </c>
      <c r="CV4" s="69" t="s">
        <v>110</v>
      </c>
      <c r="CW4" s="69" t="s">
        <v>111</v>
      </c>
      <c r="CX4" s="69" t="s">
        <v>112</v>
      </c>
      <c r="CY4" s="69" t="s">
        <v>113</v>
      </c>
      <c r="CZ4" s="69" t="s">
        <v>114</v>
      </c>
      <c r="DA4" s="69" t="s">
        <v>115</v>
      </c>
      <c r="DB4" s="69" t="s">
        <v>116</v>
      </c>
      <c r="DC4" s="69" t="s">
        <v>117</v>
      </c>
      <c r="DD4" s="69" t="s">
        <v>118</v>
      </c>
      <c r="DE4" s="69" t="s">
        <v>119</v>
      </c>
      <c r="DF4" s="69" t="s">
        <v>120</v>
      </c>
      <c r="DG4" s="69" t="s">
        <v>121</v>
      </c>
      <c r="DH4" s="69" t="s">
        <v>122</v>
      </c>
      <c r="DI4" s="69" t="s">
        <v>123</v>
      </c>
      <c r="DJ4" s="69" t="s">
        <v>124</v>
      </c>
      <c r="DK4" s="69" t="s">
        <v>125</v>
      </c>
      <c r="DL4" s="69" t="s">
        <v>126</v>
      </c>
      <c r="DM4" s="69" t="s">
        <v>127</v>
      </c>
      <c r="DN4" s="69" t="s">
        <v>128</v>
      </c>
      <c r="DO4" s="69" t="s">
        <v>129</v>
      </c>
      <c r="DP4" s="69" t="s">
        <v>130</v>
      </c>
      <c r="DQ4" s="69" t="s">
        <v>131</v>
      </c>
      <c r="DR4" s="69" t="s">
        <v>132</v>
      </c>
      <c r="DS4" s="69" t="s">
        <v>133</v>
      </c>
      <c r="DT4" s="69" t="s">
        <v>134</v>
      </c>
      <c r="DU4" s="69" t="s">
        <v>135</v>
      </c>
      <c r="DV4" s="69" t="s">
        <v>136</v>
      </c>
      <c r="DW4" s="69" t="s">
        <v>137</v>
      </c>
      <c r="DX4" s="69" t="s">
        <v>138</v>
      </c>
      <c r="DY4" s="69" t="s">
        <v>139</v>
      </c>
      <c r="DZ4" s="69" t="s">
        <v>140</v>
      </c>
      <c r="EA4" s="69" t="s">
        <v>141</v>
      </c>
      <c r="EB4" s="69" t="s">
        <v>142</v>
      </c>
      <c r="EC4" s="69" t="s">
        <v>143</v>
      </c>
      <c r="ED4" s="69" t="s">
        <v>144</v>
      </c>
      <c r="EE4" s="69" t="s">
        <v>145</v>
      </c>
      <c r="EF4" s="69" t="s">
        <v>146</v>
      </c>
      <c r="EG4" s="69" t="s">
        <v>147</v>
      </c>
      <c r="EH4" s="69" t="s">
        <v>148</v>
      </c>
      <c r="EI4" s="69" t="s">
        <v>149</v>
      </c>
      <c r="EJ4" s="69" t="s">
        <v>150</v>
      </c>
      <c r="EK4" s="69" t="s">
        <v>151</v>
      </c>
      <c r="EL4" s="69" t="s">
        <v>152</v>
      </c>
      <c r="EM4" s="69" t="s">
        <v>153</v>
      </c>
      <c r="EN4" s="69" t="s">
        <v>154</v>
      </c>
      <c r="EO4" s="69" t="s">
        <v>155</v>
      </c>
      <c r="EP4" s="69" t="s">
        <v>156</v>
      </c>
      <c r="EQ4" s="69" t="s">
        <v>157</v>
      </c>
      <c r="ER4" s="69" t="s">
        <v>158</v>
      </c>
      <c r="ES4" s="69" t="s">
        <v>159</v>
      </c>
      <c r="ET4" s="69" t="s">
        <v>160</v>
      </c>
      <c r="EU4" s="69" t="s">
        <v>161</v>
      </c>
      <c r="EV4" s="69" t="s">
        <v>162</v>
      </c>
      <c r="EW4" s="69" t="s">
        <v>163</v>
      </c>
      <c r="EX4" s="69" t="s">
        <v>164</v>
      </c>
      <c r="EY4" s="69" t="s">
        <v>165</v>
      </c>
      <c r="EZ4" s="69" t="s">
        <v>166</v>
      </c>
      <c r="FA4" s="69" t="s">
        <v>167</v>
      </c>
      <c r="FB4" s="69" t="s">
        <v>168</v>
      </c>
      <c r="FC4" s="69" t="s">
        <v>169</v>
      </c>
      <c r="FD4" s="69" t="s">
        <v>170</v>
      </c>
      <c r="FE4" s="69" t="s">
        <v>171</v>
      </c>
      <c r="FF4" s="69" t="s">
        <v>172</v>
      </c>
      <c r="FG4" s="69" t="s">
        <v>173</v>
      </c>
      <c r="FH4" s="69" t="s">
        <v>174</v>
      </c>
      <c r="FI4" s="69" t="s">
        <v>175</v>
      </c>
      <c r="FJ4" s="69" t="s">
        <v>176</v>
      </c>
      <c r="FK4" s="69" t="s">
        <v>177</v>
      </c>
      <c r="FL4" s="69" t="s">
        <v>178</v>
      </c>
      <c r="FM4" s="69" t="s">
        <v>179</v>
      </c>
      <c r="FN4" s="69" t="s">
        <v>180</v>
      </c>
      <c r="FO4" s="69" t="s">
        <v>181</v>
      </c>
      <c r="FP4" s="69" t="s">
        <v>182</v>
      </c>
      <c r="FQ4" s="69" t="s">
        <v>183</v>
      </c>
      <c r="FR4" s="69" t="s">
        <v>184</v>
      </c>
      <c r="FS4" s="69" t="s">
        <v>185</v>
      </c>
      <c r="FT4" s="69" t="s">
        <v>186</v>
      </c>
      <c r="FU4" s="69" t="s">
        <v>187</v>
      </c>
      <c r="FV4" s="69" t="s">
        <v>188</v>
      </c>
      <c r="FW4" s="69" t="s">
        <v>189</v>
      </c>
      <c r="FX4" s="69" t="s">
        <v>190</v>
      </c>
      <c r="FY4" s="69" t="s">
        <v>191</v>
      </c>
      <c r="FZ4" s="69" t="s">
        <v>192</v>
      </c>
      <c r="GA4" s="69" t="s">
        <v>193</v>
      </c>
      <c r="GB4" s="69" t="s">
        <v>194</v>
      </c>
      <c r="GC4" s="69" t="s">
        <v>195</v>
      </c>
      <c r="GD4" s="69" t="s">
        <v>196</v>
      </c>
      <c r="GE4" s="69" t="s">
        <v>197</v>
      </c>
      <c r="GF4" s="69" t="s">
        <v>198</v>
      </c>
      <c r="GG4" s="69" t="s">
        <v>199</v>
      </c>
      <c r="GH4" s="69" t="s">
        <v>200</v>
      </c>
      <c r="GI4" s="69" t="s">
        <v>201</v>
      </c>
      <c r="GJ4" s="69" t="s">
        <v>202</v>
      </c>
      <c r="GK4" s="69" t="s">
        <v>203</v>
      </c>
      <c r="GL4" s="69" t="s">
        <v>204</v>
      </c>
      <c r="GM4" s="69" t="s">
        <v>205</v>
      </c>
      <c r="GN4" s="69" t="s">
        <v>206</v>
      </c>
      <c r="GO4" s="69" t="s">
        <v>207</v>
      </c>
      <c r="GP4" s="69" t="s">
        <v>208</v>
      </c>
      <c r="GQ4" s="69" t="s">
        <v>209</v>
      </c>
      <c r="GR4" s="69" t="s">
        <v>210</v>
      </c>
      <c r="GS4" s="69" t="s">
        <v>211</v>
      </c>
      <c r="GT4" s="69" t="s">
        <v>212</v>
      </c>
      <c r="GU4" s="69" t="s">
        <v>213</v>
      </c>
      <c r="GV4" s="69" t="s">
        <v>214</v>
      </c>
      <c r="GW4" s="69" t="s">
        <v>215</v>
      </c>
      <c r="GX4" s="69" t="s">
        <v>216</v>
      </c>
      <c r="GY4" s="69" t="s">
        <v>217</v>
      </c>
      <c r="GZ4" s="69" t="s">
        <v>218</v>
      </c>
      <c r="HA4" s="69" t="s">
        <v>219</v>
      </c>
      <c r="HB4" s="69" t="s">
        <v>220</v>
      </c>
      <c r="HC4" s="69" t="s">
        <v>221</v>
      </c>
      <c r="HD4" s="69" t="s">
        <v>222</v>
      </c>
      <c r="HE4" s="69" t="s">
        <v>223</v>
      </c>
      <c r="HF4" s="69" t="s">
        <v>224</v>
      </c>
      <c r="HG4" s="69" t="s">
        <v>225</v>
      </c>
      <c r="HH4" s="69" t="s">
        <v>226</v>
      </c>
      <c r="HI4" s="69" t="s">
        <v>227</v>
      </c>
      <c r="HJ4" s="69" t="s">
        <v>228</v>
      </c>
      <c r="HK4" s="69" t="s">
        <v>229</v>
      </c>
      <c r="HL4" s="69" t="s">
        <v>230</v>
      </c>
      <c r="HM4" s="69" t="s">
        <v>231</v>
      </c>
      <c r="HN4" s="69" t="s">
        <v>232</v>
      </c>
      <c r="HO4" s="69" t="s">
        <v>233</v>
      </c>
      <c r="HP4" s="69" t="s">
        <v>234</v>
      </c>
      <c r="HQ4" s="69" t="s">
        <v>235</v>
      </c>
      <c r="HR4" s="69" t="s">
        <v>236</v>
      </c>
      <c r="HS4" s="69" t="s">
        <v>237</v>
      </c>
      <c r="HT4" s="69" t="s">
        <v>238</v>
      </c>
      <c r="HU4" s="69" t="s">
        <v>239</v>
      </c>
      <c r="HV4" s="69" t="s">
        <v>240</v>
      </c>
      <c r="HW4" s="69" t="s">
        <v>241</v>
      </c>
      <c r="HX4" s="69" t="s">
        <v>242</v>
      </c>
      <c r="HY4" s="69" t="s">
        <v>243</v>
      </c>
      <c r="HZ4" s="69" t="s">
        <v>244</v>
      </c>
      <c r="IA4" s="69" t="s">
        <v>245</v>
      </c>
      <c r="IB4" s="69" t="s">
        <v>246</v>
      </c>
      <c r="IC4" s="69" t="s">
        <v>247</v>
      </c>
      <c r="ID4" s="69" t="s">
        <v>248</v>
      </c>
      <c r="IE4" s="69" t="s">
        <v>249</v>
      </c>
      <c r="IF4" s="69" t="s">
        <v>250</v>
      </c>
      <c r="IG4" s="69" t="s">
        <v>251</v>
      </c>
      <c r="IH4" s="69" t="s">
        <v>252</v>
      </c>
      <c r="II4" s="69" t="s">
        <v>253</v>
      </c>
      <c r="IJ4" s="69" t="s">
        <v>254</v>
      </c>
      <c r="IK4" s="69" t="s">
        <v>255</v>
      </c>
      <c r="IL4" s="69" t="s">
        <v>256</v>
      </c>
      <c r="IM4" s="69" t="s">
        <v>257</v>
      </c>
      <c r="IN4" s="69" t="s">
        <v>258</v>
      </c>
      <c r="IO4" s="69" t="s">
        <v>259</v>
      </c>
      <c r="IP4" s="69" t="s">
        <v>260</v>
      </c>
      <c r="IQ4" s="69" t="s">
        <v>261</v>
      </c>
      <c r="IR4" s="69" t="s">
        <v>262</v>
      </c>
      <c r="IS4" s="69" t="s">
        <v>263</v>
      </c>
      <c r="IT4" s="69" t="s">
        <v>264</v>
      </c>
      <c r="IU4" s="69" t="s">
        <v>265</v>
      </c>
      <c r="IV4" s="69" t="s">
        <v>266</v>
      </c>
      <c r="IW4" s="69" t="s">
        <v>267</v>
      </c>
      <c r="IX4" s="69" t="s">
        <v>268</v>
      </c>
      <c r="IY4" s="69" t="s">
        <v>269</v>
      </c>
      <c r="IZ4" s="69" t="s">
        <v>270</v>
      </c>
      <c r="JA4" s="69" t="s">
        <v>271</v>
      </c>
      <c r="JB4" s="69" t="s">
        <v>272</v>
      </c>
      <c r="JC4" s="69" t="s">
        <v>273</v>
      </c>
      <c r="JD4" s="69" t="s">
        <v>274</v>
      </c>
      <c r="JE4" s="69" t="s">
        <v>275</v>
      </c>
      <c r="JF4" s="69" t="s">
        <v>276</v>
      </c>
      <c r="JG4" s="69" t="s">
        <v>277</v>
      </c>
      <c r="JH4" s="69" t="s">
        <v>278</v>
      </c>
      <c r="JI4" s="69" t="s">
        <v>279</v>
      </c>
      <c r="JJ4" s="69" t="s">
        <v>280</v>
      </c>
      <c r="JK4" s="69" t="s">
        <v>281</v>
      </c>
      <c r="JL4" s="69" t="s">
        <v>282</v>
      </c>
      <c r="JM4" s="69" t="s">
        <v>283</v>
      </c>
      <c r="JN4" s="69" t="s">
        <v>284</v>
      </c>
      <c r="JO4" s="69" t="s">
        <v>285</v>
      </c>
      <c r="JP4" s="69" t="s">
        <v>286</v>
      </c>
      <c r="JQ4" s="69" t="s">
        <v>287</v>
      </c>
      <c r="JR4" s="69" t="s">
        <v>288</v>
      </c>
      <c r="JS4" s="69" t="s">
        <v>289</v>
      </c>
      <c r="JT4" s="69" t="s">
        <v>290</v>
      </c>
      <c r="JU4" s="69" t="s">
        <v>291</v>
      </c>
      <c r="JV4" s="69" t="s">
        <v>292</v>
      </c>
      <c r="JW4" s="69" t="s">
        <v>293</v>
      </c>
      <c r="JX4" s="69" t="s">
        <v>294</v>
      </c>
      <c r="JY4" s="69" t="s">
        <v>295</v>
      </c>
      <c r="JZ4" s="69" t="s">
        <v>296</v>
      </c>
      <c r="KA4" s="69" t="s">
        <v>297</v>
      </c>
      <c r="KB4" s="69" t="s">
        <v>298</v>
      </c>
      <c r="KC4" s="69" t="s">
        <v>299</v>
      </c>
      <c r="KD4" s="69" t="s">
        <v>300</v>
      </c>
      <c r="KE4" s="69" t="s">
        <v>301</v>
      </c>
      <c r="KF4" s="69" t="s">
        <v>302</v>
      </c>
      <c r="KG4" s="69" t="s">
        <v>303</v>
      </c>
      <c r="KH4" s="69" t="s">
        <v>304</v>
      </c>
      <c r="KI4" s="69" t="s">
        <v>305</v>
      </c>
      <c r="KJ4" s="69" t="s">
        <v>306</v>
      </c>
      <c r="KK4" s="69" t="s">
        <v>307</v>
      </c>
      <c r="KL4" s="69" t="s">
        <v>308</v>
      </c>
      <c r="KM4" s="69" t="s">
        <v>309</v>
      </c>
      <c r="KN4" s="69" t="s">
        <v>310</v>
      </c>
      <c r="KO4" s="69" t="s">
        <v>311</v>
      </c>
      <c r="KP4" s="69" t="s">
        <v>312</v>
      </c>
      <c r="KQ4" s="69" t="s">
        <v>313</v>
      </c>
      <c r="KR4" s="69" t="s">
        <v>314</v>
      </c>
      <c r="KS4" s="69" t="s">
        <v>315</v>
      </c>
      <c r="KT4" s="69" t="s">
        <v>316</v>
      </c>
      <c r="KU4" s="69" t="s">
        <v>317</v>
      </c>
      <c r="KV4" s="69" t="s">
        <v>318</v>
      </c>
      <c r="KW4" s="69" t="s">
        <v>319</v>
      </c>
      <c r="KX4" s="69" t="s">
        <v>320</v>
      </c>
      <c r="KY4" s="69" t="s">
        <v>321</v>
      </c>
      <c r="KZ4" s="69" t="s">
        <v>322</v>
      </c>
      <c r="LA4" s="69" t="s">
        <v>323</v>
      </c>
      <c r="LB4" s="69" t="s">
        <v>324</v>
      </c>
      <c r="LC4" s="69" t="s">
        <v>325</v>
      </c>
      <c r="LD4" s="69" t="s">
        <v>326</v>
      </c>
      <c r="LE4" s="69" t="s">
        <v>327</v>
      </c>
      <c r="LF4" s="69" t="s">
        <v>328</v>
      </c>
      <c r="LG4" s="69" t="s">
        <v>329</v>
      </c>
      <c r="LH4" s="69" t="s">
        <v>330</v>
      </c>
      <c r="LI4" s="69" t="s">
        <v>331</v>
      </c>
      <c r="LJ4" s="69" t="s">
        <v>332</v>
      </c>
      <c r="LK4" s="69" t="s">
        <v>333</v>
      </c>
      <c r="LL4" s="69" t="s">
        <v>334</v>
      </c>
      <c r="LM4" s="69" t="s">
        <v>335</v>
      </c>
      <c r="LN4" s="69" t="s">
        <v>336</v>
      </c>
      <c r="LO4" s="69" t="s">
        <v>337</v>
      </c>
      <c r="LP4" s="69" t="s">
        <v>338</v>
      </c>
      <c r="LQ4" s="69" t="s">
        <v>339</v>
      </c>
      <c r="LR4" s="69" t="s">
        <v>340</v>
      </c>
      <c r="LS4" s="69" t="s">
        <v>341</v>
      </c>
      <c r="LT4" s="69" t="s">
        <v>342</v>
      </c>
      <c r="LU4" s="69" t="s">
        <v>343</v>
      </c>
      <c r="LV4" s="69" t="s">
        <v>344</v>
      </c>
      <c r="LW4" s="69" t="s">
        <v>345</v>
      </c>
      <c r="LX4" s="69" t="s">
        <v>346</v>
      </c>
      <c r="LY4" s="69" t="s">
        <v>347</v>
      </c>
      <c r="LZ4" s="69" t="s">
        <v>348</v>
      </c>
      <c r="MA4" s="69" t="s">
        <v>349</v>
      </c>
      <c r="MB4" s="69" t="s">
        <v>350</v>
      </c>
      <c r="MC4" s="69" t="s">
        <v>351</v>
      </c>
      <c r="MD4" s="69" t="s">
        <v>352</v>
      </c>
      <c r="ME4" s="69" t="s">
        <v>353</v>
      </c>
      <c r="MF4" s="69" t="s">
        <v>354</v>
      </c>
      <c r="MG4" s="69" t="s">
        <v>355</v>
      </c>
      <c r="MH4" s="69" t="s">
        <v>356</v>
      </c>
      <c r="MI4" s="69" t="s">
        <v>357</v>
      </c>
      <c r="MJ4" s="69" t="s">
        <v>358</v>
      </c>
      <c r="MK4" s="69" t="s">
        <v>359</v>
      </c>
      <c r="ML4" s="69" t="s">
        <v>360</v>
      </c>
      <c r="MM4" s="69" t="s">
        <v>361</v>
      </c>
      <c r="MN4" s="69" t="s">
        <v>362</v>
      </c>
      <c r="MO4" s="69" t="s">
        <v>363</v>
      </c>
      <c r="MP4" s="69" t="s">
        <v>364</v>
      </c>
      <c r="MQ4" s="69" t="s">
        <v>365</v>
      </c>
      <c r="MR4" s="69" t="s">
        <v>366</v>
      </c>
      <c r="MS4" s="69" t="s">
        <v>367</v>
      </c>
      <c r="MT4" s="69" t="s">
        <v>368</v>
      </c>
      <c r="MU4" s="69" t="s">
        <v>369</v>
      </c>
      <c r="MV4" s="69" t="s">
        <v>370</v>
      </c>
      <c r="MW4" s="69" t="s">
        <v>371</v>
      </c>
      <c r="MX4" s="69" t="s">
        <v>372</v>
      </c>
      <c r="MY4" s="69" t="s">
        <v>373</v>
      </c>
      <c r="MZ4" s="69" t="s">
        <v>374</v>
      </c>
      <c r="NA4" s="69" t="s">
        <v>375</v>
      </c>
      <c r="NB4" s="69" t="s">
        <v>376</v>
      </c>
      <c r="NC4" s="69" t="s">
        <v>377</v>
      </c>
      <c r="ND4" s="69" t="s">
        <v>378</v>
      </c>
      <c r="NE4" s="69" t="s">
        <v>379</v>
      </c>
      <c r="NF4" s="69" t="s">
        <v>380</v>
      </c>
      <c r="NG4" s="69" t="s">
        <v>381</v>
      </c>
      <c r="NH4" s="69" t="s">
        <v>382</v>
      </c>
      <c r="NI4" s="69" t="s">
        <v>383</v>
      </c>
      <c r="NJ4" s="69" t="s">
        <v>384</v>
      </c>
      <c r="NK4" s="69" t="s">
        <v>385</v>
      </c>
      <c r="NL4" s="69" t="s">
        <v>386</v>
      </c>
      <c r="NM4" s="69" t="s">
        <v>387</v>
      </c>
      <c r="NN4" s="69" t="s">
        <v>388</v>
      </c>
      <c r="NO4" s="69" t="s">
        <v>389</v>
      </c>
      <c r="NP4" s="69" t="s">
        <v>390</v>
      </c>
      <c r="NQ4" s="69" t="s">
        <v>391</v>
      </c>
      <c r="NR4" s="69" t="s">
        <v>392</v>
      </c>
      <c r="NS4" s="69" t="s">
        <v>393</v>
      </c>
      <c r="NT4" s="69" t="s">
        <v>394</v>
      </c>
      <c r="NU4" s="69" t="s">
        <v>395</v>
      </c>
      <c r="NV4" s="69" t="s">
        <v>396</v>
      </c>
      <c r="NW4" s="69" t="s">
        <v>397</v>
      </c>
      <c r="NX4" s="69" t="s">
        <v>398</v>
      </c>
      <c r="NY4" s="69" t="s">
        <v>399</v>
      </c>
      <c r="NZ4" s="69" t="s">
        <v>400</v>
      </c>
      <c r="OA4" s="69" t="s">
        <v>401</v>
      </c>
      <c r="OB4" s="69" t="s">
        <v>402</v>
      </c>
      <c r="OC4" s="69" t="s">
        <v>403</v>
      </c>
      <c r="OD4" s="69" t="s">
        <v>404</v>
      </c>
      <c r="OE4" s="69" t="s">
        <v>405</v>
      </c>
      <c r="OF4" s="69" t="s">
        <v>406</v>
      </c>
      <c r="OG4" s="69" t="s">
        <v>407</v>
      </c>
      <c r="OH4" s="69" t="s">
        <v>408</v>
      </c>
      <c r="OI4" s="69" t="s">
        <v>409</v>
      </c>
      <c r="OJ4" s="69" t="s">
        <v>410</v>
      </c>
      <c r="OK4" s="69" t="s">
        <v>411</v>
      </c>
      <c r="OL4" s="69" t="s">
        <v>412</v>
      </c>
      <c r="OM4" s="69" t="s">
        <v>413</v>
      </c>
      <c r="ON4" s="69" t="s">
        <v>414</v>
      </c>
      <c r="OO4" s="69" t="s">
        <v>415</v>
      </c>
      <c r="OP4" s="69" t="s">
        <v>416</v>
      </c>
      <c r="OQ4" s="69" t="s">
        <v>417</v>
      </c>
      <c r="OR4" s="69" t="s">
        <v>418</v>
      </c>
      <c r="OS4" s="69" t="s">
        <v>419</v>
      </c>
      <c r="OT4" s="69" t="s">
        <v>420</v>
      </c>
      <c r="OU4" s="69" t="s">
        <v>421</v>
      </c>
      <c r="OV4" s="69" t="s">
        <v>422</v>
      </c>
      <c r="OW4" s="69" t="s">
        <v>423</v>
      </c>
      <c r="OX4" s="69" t="s">
        <v>424</v>
      </c>
      <c r="OY4" s="69" t="s">
        <v>425</v>
      </c>
      <c r="OZ4" s="69" t="s">
        <v>426</v>
      </c>
      <c r="PA4" s="69" t="s">
        <v>427</v>
      </c>
      <c r="PB4" s="69" t="s">
        <v>428</v>
      </c>
      <c r="PC4" s="69" t="s">
        <v>429</v>
      </c>
      <c r="PD4" s="69" t="s">
        <v>430</v>
      </c>
      <c r="PE4" s="69" t="s">
        <v>431</v>
      </c>
      <c r="PF4" s="69" t="s">
        <v>432</v>
      </c>
      <c r="PG4" s="69" t="s">
        <v>433</v>
      </c>
      <c r="PH4" s="69" t="s">
        <v>434</v>
      </c>
      <c r="PI4" s="69" t="s">
        <v>435</v>
      </c>
      <c r="PJ4" s="69" t="s">
        <v>436</v>
      </c>
      <c r="PK4" s="69" t="s">
        <v>437</v>
      </c>
      <c r="PL4" s="69" t="s">
        <v>438</v>
      </c>
      <c r="PM4" s="69" t="s">
        <v>439</v>
      </c>
      <c r="PN4" s="69" t="s">
        <v>440</v>
      </c>
      <c r="PO4" s="69" t="s">
        <v>441</v>
      </c>
      <c r="PP4" s="69" t="s">
        <v>442</v>
      </c>
      <c r="PQ4" s="69" t="s">
        <v>443</v>
      </c>
      <c r="PR4" s="69" t="s">
        <v>444</v>
      </c>
      <c r="PS4" s="69" t="s">
        <v>445</v>
      </c>
      <c r="PT4" s="69" t="s">
        <v>446</v>
      </c>
      <c r="PU4" s="69" t="s">
        <v>447</v>
      </c>
      <c r="PV4" s="69" t="s">
        <v>448</v>
      </c>
      <c r="PW4" s="69" t="s">
        <v>449</v>
      </c>
      <c r="PX4" s="69" t="s">
        <v>450</v>
      </c>
      <c r="PY4" s="69" t="s">
        <v>451</v>
      </c>
      <c r="PZ4" s="69" t="s">
        <v>452</v>
      </c>
      <c r="QA4" s="69" t="s">
        <v>453</v>
      </c>
      <c r="QB4" s="69" t="s">
        <v>454</v>
      </c>
      <c r="QC4" s="69" t="s">
        <v>455</v>
      </c>
      <c r="QD4" s="69" t="s">
        <v>456</v>
      </c>
      <c r="QE4" s="69" t="s">
        <v>457</v>
      </c>
      <c r="QF4" s="69" t="s">
        <v>458</v>
      </c>
      <c r="QG4" s="69" t="s">
        <v>459</v>
      </c>
      <c r="QH4" s="69" t="s">
        <v>460</v>
      </c>
      <c r="QI4" s="69" t="s">
        <v>461</v>
      </c>
      <c r="QJ4" s="69" t="s">
        <v>462</v>
      </c>
      <c r="QK4" s="69" t="s">
        <v>463</v>
      </c>
      <c r="QL4" s="69" t="s">
        <v>464</v>
      </c>
      <c r="QM4" s="69" t="s">
        <v>465</v>
      </c>
      <c r="QN4" s="69" t="s">
        <v>466</v>
      </c>
      <c r="QO4" s="69" t="s">
        <v>467</v>
      </c>
      <c r="QP4" s="69" t="s">
        <v>468</v>
      </c>
      <c r="QQ4" s="69" t="s">
        <v>469</v>
      </c>
      <c r="QR4" s="69" t="s">
        <v>470</v>
      </c>
      <c r="QS4" s="69" t="s">
        <v>471</v>
      </c>
      <c r="QT4" s="69" t="s">
        <v>472</v>
      </c>
      <c r="QU4" s="69" t="s">
        <v>473</v>
      </c>
      <c r="QV4" s="69" t="s">
        <v>474</v>
      </c>
      <c r="QW4" s="69" t="s">
        <v>475</v>
      </c>
      <c r="QX4" s="69" t="s">
        <v>476</v>
      </c>
      <c r="QY4" s="69" t="s">
        <v>477</v>
      </c>
      <c r="QZ4" s="69" t="s">
        <v>478</v>
      </c>
      <c r="RA4" s="69" t="s">
        <v>479</v>
      </c>
      <c r="RB4" s="69" t="s">
        <v>480</v>
      </c>
      <c r="RC4" s="69" t="s">
        <v>481</v>
      </c>
      <c r="RD4" s="69" t="s">
        <v>482</v>
      </c>
      <c r="RE4" s="69" t="s">
        <v>483</v>
      </c>
      <c r="RF4" s="69" t="s">
        <v>484</v>
      </c>
      <c r="RG4" s="69" t="s">
        <v>485</v>
      </c>
      <c r="RH4" s="69" t="s">
        <v>486</v>
      </c>
      <c r="RI4" s="69" t="s">
        <v>487</v>
      </c>
      <c r="RJ4" s="69" t="s">
        <v>488</v>
      </c>
      <c r="RK4" s="69" t="s">
        <v>489</v>
      </c>
      <c r="RL4" s="69" t="s">
        <v>490</v>
      </c>
      <c r="RM4" s="69" t="s">
        <v>491</v>
      </c>
      <c r="RN4" s="69" t="s">
        <v>492</v>
      </c>
      <c r="RO4" s="69" t="s">
        <v>493</v>
      </c>
      <c r="RP4" s="69" t="s">
        <v>494</v>
      </c>
      <c r="RQ4" s="69" t="s">
        <v>495</v>
      </c>
      <c r="RR4" s="69" t="s">
        <v>496</v>
      </c>
      <c r="RS4" s="69" t="s">
        <v>497</v>
      </c>
      <c r="RT4" s="69" t="s">
        <v>498</v>
      </c>
      <c r="RU4" s="69" t="s">
        <v>499</v>
      </c>
      <c r="RV4" s="69" t="s">
        <v>500</v>
      </c>
      <c r="RW4" s="69" t="s">
        <v>501</v>
      </c>
      <c r="RX4" s="69" t="s">
        <v>502</v>
      </c>
      <c r="RY4" s="69" t="s">
        <v>503</v>
      </c>
      <c r="RZ4" s="69" t="s">
        <v>504</v>
      </c>
      <c r="SA4" s="69" t="s">
        <v>505</v>
      </c>
      <c r="SB4" s="69" t="s">
        <v>506</v>
      </c>
      <c r="SC4" s="69" t="s">
        <v>507</v>
      </c>
      <c r="SD4" s="69" t="s">
        <v>508</v>
      </c>
      <c r="SE4" s="69" t="s">
        <v>509</v>
      </c>
      <c r="SF4" s="69" t="s">
        <v>510</v>
      </c>
      <c r="SG4" s="69" t="s">
        <v>511</v>
      </c>
      <c r="SH4" s="69" t="s">
        <v>512</v>
      </c>
      <c r="SI4" s="69" t="s">
        <v>513</v>
      </c>
      <c r="SJ4" s="69" t="s">
        <v>514</v>
      </c>
      <c r="SK4" s="6"/>
    </row>
    <row r="5" ht="14.25" customHeight="1">
      <c r="A5" s="68"/>
      <c r="B5" s="70" t="s">
        <v>5</v>
      </c>
      <c r="C5" s="70"/>
      <c r="D5" s="71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6"/>
    </row>
    <row r="6" ht="14.25" customHeight="1">
      <c r="A6" s="72" t="s">
        <v>567</v>
      </c>
      <c r="B6" s="37" t="s">
        <v>568</v>
      </c>
      <c r="C6" s="73"/>
      <c r="D6" s="74">
        <f t="shared" ref="D6:D12" si="1">C6+SUM(E6:SJ6)</f>
        <v>0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75"/>
      <c r="SK6" s="6"/>
    </row>
    <row r="7" ht="14.25" customHeight="1">
      <c r="A7" s="76" t="s">
        <v>567</v>
      </c>
      <c r="B7" s="39" t="s">
        <v>569</v>
      </c>
      <c r="C7" s="77"/>
      <c r="D7" s="74">
        <f t="shared" si="1"/>
        <v>0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8"/>
      <c r="BK7" s="78"/>
      <c r="BL7" s="78"/>
      <c r="BM7" s="78"/>
      <c r="BN7" s="78"/>
      <c r="BO7" s="78"/>
      <c r="BP7" s="78"/>
      <c r="BQ7" s="78"/>
      <c r="BR7" s="78"/>
      <c r="BS7" s="78"/>
      <c r="BT7" s="78"/>
      <c r="BU7" s="78"/>
      <c r="BV7" s="78"/>
      <c r="BW7" s="78"/>
      <c r="BX7" s="78"/>
      <c r="BY7" s="78"/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  <c r="EC7" s="78"/>
      <c r="ED7" s="78"/>
      <c r="EE7" s="78"/>
      <c r="EF7" s="78"/>
      <c r="EG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  <c r="FB7" s="78"/>
      <c r="FC7" s="78"/>
      <c r="FD7" s="78"/>
      <c r="FE7" s="78"/>
      <c r="FF7" s="78"/>
      <c r="FG7" s="78"/>
      <c r="FH7" s="78"/>
      <c r="FI7" s="78"/>
      <c r="FJ7" s="78"/>
      <c r="FK7" s="78"/>
      <c r="FL7" s="78"/>
      <c r="FM7" s="78"/>
      <c r="FN7" s="78"/>
      <c r="FO7" s="78"/>
      <c r="FP7" s="78"/>
      <c r="FQ7" s="78"/>
      <c r="FR7" s="78"/>
      <c r="FS7" s="78"/>
      <c r="FT7" s="78"/>
      <c r="FU7" s="78"/>
      <c r="FV7" s="78"/>
      <c r="FW7" s="78"/>
      <c r="FX7" s="78"/>
      <c r="FY7" s="78"/>
      <c r="FZ7" s="78"/>
      <c r="GA7" s="78"/>
      <c r="GB7" s="78"/>
      <c r="GC7" s="78"/>
      <c r="GD7" s="78"/>
      <c r="GE7" s="78"/>
      <c r="GF7" s="78"/>
      <c r="GG7" s="78"/>
      <c r="GH7" s="78"/>
      <c r="GI7" s="78"/>
      <c r="GJ7" s="78"/>
      <c r="GK7" s="78"/>
      <c r="GL7" s="78"/>
      <c r="GM7" s="78"/>
      <c r="GN7" s="78"/>
      <c r="GO7" s="78"/>
      <c r="GP7" s="78"/>
      <c r="GQ7" s="78"/>
      <c r="GR7" s="78"/>
      <c r="GS7" s="78"/>
      <c r="GT7" s="78"/>
      <c r="GU7" s="78"/>
      <c r="GV7" s="78"/>
      <c r="GW7" s="78"/>
      <c r="GX7" s="78"/>
      <c r="GY7" s="78"/>
      <c r="GZ7" s="78"/>
      <c r="HA7" s="78"/>
      <c r="HB7" s="78"/>
      <c r="HC7" s="78"/>
      <c r="HD7" s="78"/>
      <c r="HE7" s="78"/>
      <c r="HF7" s="78"/>
      <c r="HG7" s="78"/>
      <c r="HH7" s="78"/>
      <c r="HI7" s="78"/>
      <c r="HJ7" s="78"/>
      <c r="HK7" s="78"/>
      <c r="HL7" s="78"/>
      <c r="HM7" s="78"/>
      <c r="HN7" s="78"/>
      <c r="HO7" s="78"/>
      <c r="HP7" s="78"/>
      <c r="HQ7" s="78"/>
      <c r="HR7" s="78"/>
      <c r="HS7" s="78"/>
      <c r="HT7" s="78"/>
      <c r="HU7" s="78"/>
      <c r="HV7" s="78"/>
      <c r="HW7" s="78"/>
      <c r="HX7" s="78"/>
      <c r="HY7" s="78"/>
      <c r="HZ7" s="78"/>
      <c r="IA7" s="78"/>
      <c r="IB7" s="78"/>
      <c r="IC7" s="78"/>
      <c r="ID7" s="78"/>
      <c r="IE7" s="78"/>
      <c r="IF7" s="78"/>
      <c r="IG7" s="78"/>
      <c r="IH7" s="78"/>
      <c r="II7" s="78"/>
      <c r="IJ7" s="78"/>
      <c r="IK7" s="78"/>
      <c r="IL7" s="78"/>
      <c r="IM7" s="78"/>
      <c r="IN7" s="78"/>
      <c r="IO7" s="78"/>
      <c r="IP7" s="78"/>
      <c r="IQ7" s="78"/>
      <c r="IR7" s="78"/>
      <c r="IS7" s="78"/>
      <c r="IT7" s="78"/>
      <c r="IU7" s="78"/>
      <c r="IV7" s="78"/>
      <c r="IW7" s="78"/>
      <c r="IX7" s="78"/>
      <c r="IY7" s="78"/>
      <c r="IZ7" s="78"/>
      <c r="JA7" s="78"/>
      <c r="JB7" s="78"/>
      <c r="JC7" s="78"/>
      <c r="JD7" s="78"/>
      <c r="JE7" s="78"/>
      <c r="JF7" s="78"/>
      <c r="JG7" s="78"/>
      <c r="JH7" s="78"/>
      <c r="JI7" s="78"/>
      <c r="JJ7" s="78"/>
      <c r="JK7" s="78"/>
      <c r="JL7" s="78"/>
      <c r="JM7" s="78"/>
      <c r="JN7" s="78"/>
      <c r="JO7" s="78"/>
      <c r="JP7" s="78"/>
      <c r="JQ7" s="78"/>
      <c r="JR7" s="78"/>
      <c r="JS7" s="78"/>
      <c r="JT7" s="78"/>
      <c r="JU7" s="78"/>
      <c r="JV7" s="78"/>
      <c r="JW7" s="78"/>
      <c r="JX7" s="78"/>
      <c r="JY7" s="78"/>
      <c r="JZ7" s="78"/>
      <c r="KA7" s="78"/>
      <c r="KB7" s="78"/>
      <c r="KC7" s="78"/>
      <c r="KD7" s="78"/>
      <c r="KE7" s="78"/>
      <c r="KF7" s="78"/>
      <c r="KG7" s="78"/>
      <c r="KH7" s="78"/>
      <c r="KI7" s="78"/>
      <c r="KJ7" s="78"/>
      <c r="KK7" s="78"/>
      <c r="KL7" s="78"/>
      <c r="KM7" s="78"/>
      <c r="KN7" s="78"/>
      <c r="KO7" s="78"/>
      <c r="KP7" s="78"/>
      <c r="KQ7" s="78"/>
      <c r="KR7" s="78"/>
      <c r="KS7" s="78"/>
      <c r="KT7" s="78"/>
      <c r="KU7" s="78"/>
      <c r="KV7" s="78"/>
      <c r="KW7" s="78"/>
      <c r="KX7" s="78"/>
      <c r="KY7" s="78"/>
      <c r="KZ7" s="78"/>
      <c r="LA7" s="78"/>
      <c r="LB7" s="78"/>
      <c r="LC7" s="78"/>
      <c r="LD7" s="78"/>
      <c r="LE7" s="78"/>
      <c r="LF7" s="78"/>
      <c r="LG7" s="78"/>
      <c r="LH7" s="78"/>
      <c r="LI7" s="78"/>
      <c r="LJ7" s="78"/>
      <c r="LK7" s="78"/>
      <c r="LL7" s="78"/>
      <c r="LM7" s="78"/>
      <c r="LN7" s="78"/>
      <c r="LO7" s="78"/>
      <c r="LP7" s="78"/>
      <c r="LQ7" s="78"/>
      <c r="LR7" s="78"/>
      <c r="LS7" s="78"/>
      <c r="LT7" s="78"/>
      <c r="LU7" s="78"/>
      <c r="LV7" s="78"/>
      <c r="LW7" s="78"/>
      <c r="LX7" s="78"/>
      <c r="LY7" s="78"/>
      <c r="LZ7" s="78"/>
      <c r="MA7" s="78"/>
      <c r="MB7" s="78"/>
      <c r="MC7" s="78"/>
      <c r="MD7" s="78"/>
      <c r="ME7" s="78"/>
      <c r="MF7" s="78"/>
      <c r="MG7" s="78"/>
      <c r="MH7" s="78"/>
      <c r="MI7" s="78"/>
      <c r="MJ7" s="78"/>
      <c r="MK7" s="78"/>
      <c r="ML7" s="78"/>
      <c r="MM7" s="78"/>
      <c r="MN7" s="78"/>
      <c r="MO7" s="78"/>
      <c r="MP7" s="78"/>
      <c r="MQ7" s="78"/>
      <c r="MR7" s="78"/>
      <c r="MS7" s="78"/>
      <c r="MT7" s="78"/>
      <c r="MU7" s="78"/>
      <c r="MV7" s="78"/>
      <c r="MW7" s="78"/>
      <c r="MX7" s="78"/>
      <c r="MY7" s="78"/>
      <c r="MZ7" s="78"/>
      <c r="NA7" s="78"/>
      <c r="NB7" s="78"/>
      <c r="NC7" s="78"/>
      <c r="ND7" s="78"/>
      <c r="NE7" s="78"/>
      <c r="NF7" s="78"/>
      <c r="NG7" s="78"/>
      <c r="NH7" s="78"/>
      <c r="NI7" s="78"/>
      <c r="NJ7" s="78"/>
      <c r="NK7" s="78"/>
      <c r="NL7" s="78"/>
      <c r="NM7" s="78"/>
      <c r="NN7" s="78"/>
      <c r="NO7" s="78"/>
      <c r="NP7" s="78"/>
      <c r="NQ7" s="78"/>
      <c r="NR7" s="78"/>
      <c r="NS7" s="78"/>
      <c r="NT7" s="78"/>
      <c r="NU7" s="78"/>
      <c r="NV7" s="78"/>
      <c r="NW7" s="78"/>
      <c r="NX7" s="78"/>
      <c r="NY7" s="78"/>
      <c r="NZ7" s="78"/>
      <c r="OA7" s="78"/>
      <c r="OB7" s="78"/>
      <c r="OC7" s="78"/>
      <c r="OD7" s="78"/>
      <c r="OE7" s="78"/>
      <c r="OF7" s="78"/>
      <c r="OG7" s="78"/>
      <c r="OH7" s="78"/>
      <c r="OI7" s="78"/>
      <c r="OJ7" s="78"/>
      <c r="OK7" s="78"/>
      <c r="OL7" s="78"/>
      <c r="OM7" s="78"/>
      <c r="ON7" s="78"/>
      <c r="OO7" s="78"/>
      <c r="OP7" s="78"/>
      <c r="OQ7" s="78"/>
      <c r="OR7" s="78"/>
      <c r="OS7" s="78"/>
      <c r="OT7" s="78"/>
      <c r="OU7" s="78"/>
      <c r="OV7" s="78"/>
      <c r="OW7" s="78"/>
      <c r="OX7" s="78"/>
      <c r="OY7" s="78"/>
      <c r="OZ7" s="78"/>
      <c r="PA7" s="78"/>
      <c r="PB7" s="78"/>
      <c r="PC7" s="78"/>
      <c r="PD7" s="78"/>
      <c r="PE7" s="78"/>
      <c r="PF7" s="78"/>
      <c r="PG7" s="78"/>
      <c r="PH7" s="78"/>
      <c r="PI7" s="78"/>
      <c r="PJ7" s="78"/>
      <c r="PK7" s="78"/>
      <c r="PL7" s="78"/>
      <c r="PM7" s="78"/>
      <c r="PN7" s="78"/>
      <c r="PO7" s="78"/>
      <c r="PP7" s="78"/>
      <c r="PQ7" s="78"/>
      <c r="PR7" s="78"/>
      <c r="PS7" s="78"/>
      <c r="PT7" s="78"/>
      <c r="PU7" s="78"/>
      <c r="PV7" s="78"/>
      <c r="PW7" s="78"/>
      <c r="PX7" s="78"/>
      <c r="PY7" s="78"/>
      <c r="PZ7" s="78"/>
      <c r="QA7" s="78"/>
      <c r="QB7" s="78"/>
      <c r="QC7" s="78"/>
      <c r="QD7" s="78"/>
      <c r="QE7" s="78"/>
      <c r="QF7" s="78"/>
      <c r="QG7" s="78"/>
      <c r="QH7" s="78"/>
      <c r="QI7" s="78"/>
      <c r="QJ7" s="78"/>
      <c r="QK7" s="78"/>
      <c r="QL7" s="78"/>
      <c r="QM7" s="78"/>
      <c r="QN7" s="78"/>
      <c r="QO7" s="78"/>
      <c r="QP7" s="78"/>
      <c r="QQ7" s="78"/>
      <c r="QR7" s="78"/>
      <c r="QS7" s="78"/>
      <c r="QT7" s="78"/>
      <c r="QU7" s="78"/>
      <c r="QV7" s="78"/>
      <c r="QW7" s="78"/>
      <c r="QX7" s="78"/>
      <c r="QY7" s="78"/>
      <c r="QZ7" s="78"/>
      <c r="RA7" s="78"/>
      <c r="RB7" s="78"/>
      <c r="RC7" s="78"/>
      <c r="RD7" s="78"/>
      <c r="RE7" s="78"/>
      <c r="RF7" s="78"/>
      <c r="RG7" s="78"/>
      <c r="RH7" s="78"/>
      <c r="RI7" s="78"/>
      <c r="RJ7" s="78"/>
      <c r="RK7" s="78"/>
      <c r="RL7" s="78"/>
      <c r="RM7" s="78"/>
      <c r="RN7" s="78"/>
      <c r="RO7" s="78"/>
      <c r="RP7" s="78"/>
      <c r="RQ7" s="78"/>
      <c r="RR7" s="78"/>
      <c r="RS7" s="78"/>
      <c r="RT7" s="78"/>
      <c r="RU7" s="78"/>
      <c r="RV7" s="78"/>
      <c r="RW7" s="78"/>
      <c r="RX7" s="78"/>
      <c r="RY7" s="78"/>
      <c r="RZ7" s="78"/>
      <c r="SA7" s="78"/>
      <c r="SB7" s="78"/>
      <c r="SC7" s="78"/>
      <c r="SD7" s="78"/>
      <c r="SE7" s="78"/>
      <c r="SF7" s="78"/>
      <c r="SG7" s="78"/>
      <c r="SH7" s="78"/>
      <c r="SI7" s="78"/>
      <c r="SJ7" s="79"/>
      <c r="SK7" s="6"/>
    </row>
    <row r="8" ht="14.25" customHeight="1">
      <c r="A8" s="80" t="s">
        <v>567</v>
      </c>
      <c r="B8" s="30" t="s">
        <v>570</v>
      </c>
      <c r="C8" s="81"/>
      <c r="D8" s="74">
        <f t="shared" si="1"/>
        <v>0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31"/>
      <c r="IA8" s="31"/>
      <c r="IB8" s="31"/>
      <c r="IC8" s="31"/>
      <c r="ID8" s="31"/>
      <c r="IE8" s="31"/>
      <c r="IF8" s="31"/>
      <c r="IG8" s="31"/>
      <c r="IH8" s="31"/>
      <c r="II8" s="31"/>
      <c r="IJ8" s="31"/>
      <c r="IK8" s="31"/>
      <c r="IL8" s="31"/>
      <c r="IM8" s="31"/>
      <c r="IN8" s="31"/>
      <c r="IO8" s="31"/>
      <c r="IP8" s="31"/>
      <c r="IQ8" s="31"/>
      <c r="IR8" s="31"/>
      <c r="IS8" s="31"/>
      <c r="IT8" s="31"/>
      <c r="IU8" s="31"/>
      <c r="IV8" s="31"/>
      <c r="IW8" s="31"/>
      <c r="IX8" s="31"/>
      <c r="IY8" s="31"/>
      <c r="IZ8" s="31"/>
      <c r="JA8" s="31"/>
      <c r="JB8" s="31"/>
      <c r="JC8" s="31"/>
      <c r="JD8" s="31"/>
      <c r="JE8" s="31"/>
      <c r="JF8" s="31"/>
      <c r="JG8" s="31"/>
      <c r="JH8" s="31"/>
      <c r="JI8" s="31"/>
      <c r="JJ8" s="31"/>
      <c r="JK8" s="31"/>
      <c r="JL8" s="31"/>
      <c r="JM8" s="31"/>
      <c r="JN8" s="31"/>
      <c r="JO8" s="31"/>
      <c r="JP8" s="31"/>
      <c r="JQ8" s="31"/>
      <c r="JR8" s="31"/>
      <c r="JS8" s="31"/>
      <c r="JT8" s="31"/>
      <c r="JU8" s="31"/>
      <c r="JV8" s="31"/>
      <c r="JW8" s="31"/>
      <c r="JX8" s="31"/>
      <c r="JY8" s="31"/>
      <c r="JZ8" s="31"/>
      <c r="KA8" s="31"/>
      <c r="KB8" s="31"/>
      <c r="KC8" s="31"/>
      <c r="KD8" s="31"/>
      <c r="KE8" s="31"/>
      <c r="KF8" s="31"/>
      <c r="KG8" s="31"/>
      <c r="KH8" s="31"/>
      <c r="KI8" s="31"/>
      <c r="KJ8" s="31"/>
      <c r="KK8" s="31"/>
      <c r="KL8" s="31"/>
      <c r="KM8" s="31"/>
      <c r="KN8" s="31"/>
      <c r="KO8" s="31"/>
      <c r="KP8" s="31"/>
      <c r="KQ8" s="31"/>
      <c r="KR8" s="31"/>
      <c r="KS8" s="31"/>
      <c r="KT8" s="31"/>
      <c r="KU8" s="31"/>
      <c r="KV8" s="31"/>
      <c r="KW8" s="31"/>
      <c r="KX8" s="31"/>
      <c r="KY8" s="31"/>
      <c r="KZ8" s="31"/>
      <c r="LA8" s="31"/>
      <c r="LB8" s="31"/>
      <c r="LC8" s="31"/>
      <c r="LD8" s="31"/>
      <c r="LE8" s="31"/>
      <c r="LF8" s="31"/>
      <c r="LG8" s="31"/>
      <c r="LH8" s="31"/>
      <c r="LI8" s="31"/>
      <c r="LJ8" s="31"/>
      <c r="LK8" s="31"/>
      <c r="LL8" s="31"/>
      <c r="LM8" s="31"/>
      <c r="LN8" s="31"/>
      <c r="LO8" s="31"/>
      <c r="LP8" s="31"/>
      <c r="LQ8" s="31"/>
      <c r="LR8" s="31"/>
      <c r="LS8" s="31"/>
      <c r="LT8" s="31"/>
      <c r="LU8" s="31"/>
      <c r="LV8" s="31"/>
      <c r="LW8" s="31"/>
      <c r="LX8" s="31"/>
      <c r="LY8" s="31"/>
      <c r="LZ8" s="31"/>
      <c r="MA8" s="31"/>
      <c r="MB8" s="31"/>
      <c r="MC8" s="31"/>
      <c r="MD8" s="31"/>
      <c r="ME8" s="31"/>
      <c r="MF8" s="31"/>
      <c r="MG8" s="31"/>
      <c r="MH8" s="31"/>
      <c r="MI8" s="31"/>
      <c r="MJ8" s="31"/>
      <c r="MK8" s="31"/>
      <c r="ML8" s="31"/>
      <c r="MM8" s="31"/>
      <c r="MN8" s="31"/>
      <c r="MO8" s="31"/>
      <c r="MP8" s="31"/>
      <c r="MQ8" s="31"/>
      <c r="MR8" s="31"/>
      <c r="MS8" s="31"/>
      <c r="MT8" s="31"/>
      <c r="MU8" s="31"/>
      <c r="MV8" s="31"/>
      <c r="MW8" s="31"/>
      <c r="MX8" s="31"/>
      <c r="MY8" s="31"/>
      <c r="MZ8" s="31"/>
      <c r="NA8" s="31"/>
      <c r="NB8" s="31"/>
      <c r="NC8" s="31"/>
      <c r="ND8" s="31"/>
      <c r="NE8" s="31"/>
      <c r="NF8" s="31"/>
      <c r="NG8" s="31"/>
      <c r="NH8" s="31"/>
      <c r="NI8" s="31"/>
      <c r="NJ8" s="31"/>
      <c r="NK8" s="31"/>
      <c r="NL8" s="31"/>
      <c r="NM8" s="31"/>
      <c r="NN8" s="31"/>
      <c r="NO8" s="31"/>
      <c r="NP8" s="31"/>
      <c r="NQ8" s="31"/>
      <c r="NR8" s="31"/>
      <c r="NS8" s="31"/>
      <c r="NT8" s="31"/>
      <c r="NU8" s="31"/>
      <c r="NV8" s="31"/>
      <c r="NW8" s="31"/>
      <c r="NX8" s="31"/>
      <c r="NY8" s="31"/>
      <c r="NZ8" s="31"/>
      <c r="OA8" s="31"/>
      <c r="OB8" s="31"/>
      <c r="OC8" s="31"/>
      <c r="OD8" s="31"/>
      <c r="OE8" s="31"/>
      <c r="OF8" s="31"/>
      <c r="OG8" s="31"/>
      <c r="OH8" s="31"/>
      <c r="OI8" s="31"/>
      <c r="OJ8" s="31"/>
      <c r="OK8" s="31"/>
      <c r="OL8" s="31"/>
      <c r="OM8" s="31"/>
      <c r="ON8" s="31"/>
      <c r="OO8" s="31"/>
      <c r="OP8" s="31"/>
      <c r="OQ8" s="31"/>
      <c r="OR8" s="31"/>
      <c r="OS8" s="31"/>
      <c r="OT8" s="31"/>
      <c r="OU8" s="31"/>
      <c r="OV8" s="31"/>
      <c r="OW8" s="31"/>
      <c r="OX8" s="31"/>
      <c r="OY8" s="31"/>
      <c r="OZ8" s="31"/>
      <c r="PA8" s="31"/>
      <c r="PB8" s="31"/>
      <c r="PC8" s="31"/>
      <c r="PD8" s="31"/>
      <c r="PE8" s="31"/>
      <c r="PF8" s="31"/>
      <c r="PG8" s="31"/>
      <c r="PH8" s="31"/>
      <c r="PI8" s="31"/>
      <c r="PJ8" s="31"/>
      <c r="PK8" s="31"/>
      <c r="PL8" s="31"/>
      <c r="PM8" s="31"/>
      <c r="PN8" s="31"/>
      <c r="PO8" s="31"/>
      <c r="PP8" s="31"/>
      <c r="PQ8" s="31"/>
      <c r="PR8" s="31"/>
      <c r="PS8" s="31"/>
      <c r="PT8" s="31"/>
      <c r="PU8" s="31"/>
      <c r="PV8" s="31"/>
      <c r="PW8" s="31"/>
      <c r="PX8" s="31"/>
      <c r="PY8" s="31"/>
      <c r="PZ8" s="31"/>
      <c r="QA8" s="31"/>
      <c r="QB8" s="31"/>
      <c r="QC8" s="31"/>
      <c r="QD8" s="31"/>
      <c r="QE8" s="31"/>
      <c r="QF8" s="31"/>
      <c r="QG8" s="31"/>
      <c r="QH8" s="31"/>
      <c r="QI8" s="31"/>
      <c r="QJ8" s="31"/>
      <c r="QK8" s="31"/>
      <c r="QL8" s="31"/>
      <c r="QM8" s="31"/>
      <c r="QN8" s="31"/>
      <c r="QO8" s="31"/>
      <c r="QP8" s="31"/>
      <c r="QQ8" s="31"/>
      <c r="QR8" s="31"/>
      <c r="QS8" s="31"/>
      <c r="QT8" s="31"/>
      <c r="QU8" s="31"/>
      <c r="QV8" s="31"/>
      <c r="QW8" s="31"/>
      <c r="QX8" s="31"/>
      <c r="QY8" s="31"/>
      <c r="QZ8" s="31"/>
      <c r="RA8" s="31"/>
      <c r="RB8" s="31"/>
      <c r="RC8" s="31"/>
      <c r="RD8" s="31"/>
      <c r="RE8" s="31"/>
      <c r="RF8" s="31"/>
      <c r="RG8" s="31"/>
      <c r="RH8" s="31"/>
      <c r="RI8" s="31"/>
      <c r="RJ8" s="31"/>
      <c r="RK8" s="31"/>
      <c r="RL8" s="31"/>
      <c r="RM8" s="31"/>
      <c r="RN8" s="31"/>
      <c r="RO8" s="31"/>
      <c r="RP8" s="31"/>
      <c r="RQ8" s="31"/>
      <c r="RR8" s="31"/>
      <c r="RS8" s="31"/>
      <c r="RT8" s="31"/>
      <c r="RU8" s="31"/>
      <c r="RV8" s="31"/>
      <c r="RW8" s="31"/>
      <c r="RX8" s="31"/>
      <c r="RY8" s="31"/>
      <c r="RZ8" s="31"/>
      <c r="SA8" s="31"/>
      <c r="SB8" s="31"/>
      <c r="SC8" s="31"/>
      <c r="SD8" s="31"/>
      <c r="SE8" s="31"/>
      <c r="SF8" s="31"/>
      <c r="SG8" s="31"/>
      <c r="SH8" s="31"/>
      <c r="SI8" s="31"/>
      <c r="SJ8" s="82"/>
      <c r="SK8" s="6"/>
    </row>
    <row r="9" ht="14.25" customHeight="1">
      <c r="A9" s="80" t="s">
        <v>567</v>
      </c>
      <c r="B9" s="30" t="s">
        <v>571</v>
      </c>
      <c r="C9" s="81"/>
      <c r="D9" s="74">
        <f t="shared" si="1"/>
        <v>0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  <c r="HI9" s="31"/>
      <c r="HJ9" s="31"/>
      <c r="HK9" s="31"/>
      <c r="HL9" s="31"/>
      <c r="HM9" s="31"/>
      <c r="HN9" s="31"/>
      <c r="HO9" s="31"/>
      <c r="HP9" s="31"/>
      <c r="HQ9" s="31"/>
      <c r="HR9" s="31"/>
      <c r="HS9" s="31"/>
      <c r="HT9" s="31"/>
      <c r="HU9" s="31"/>
      <c r="HV9" s="31"/>
      <c r="HW9" s="31"/>
      <c r="HX9" s="31"/>
      <c r="HY9" s="31"/>
      <c r="HZ9" s="31"/>
      <c r="IA9" s="31"/>
      <c r="IB9" s="31"/>
      <c r="IC9" s="31"/>
      <c r="ID9" s="31"/>
      <c r="IE9" s="31"/>
      <c r="IF9" s="31"/>
      <c r="IG9" s="31"/>
      <c r="IH9" s="31"/>
      <c r="II9" s="31"/>
      <c r="IJ9" s="31"/>
      <c r="IK9" s="31"/>
      <c r="IL9" s="31"/>
      <c r="IM9" s="31"/>
      <c r="IN9" s="31"/>
      <c r="IO9" s="31"/>
      <c r="IP9" s="31"/>
      <c r="IQ9" s="31"/>
      <c r="IR9" s="31"/>
      <c r="IS9" s="31"/>
      <c r="IT9" s="31"/>
      <c r="IU9" s="31"/>
      <c r="IV9" s="31"/>
      <c r="IW9" s="31"/>
      <c r="IX9" s="31"/>
      <c r="IY9" s="31"/>
      <c r="IZ9" s="31"/>
      <c r="JA9" s="31"/>
      <c r="JB9" s="31"/>
      <c r="JC9" s="31"/>
      <c r="JD9" s="31"/>
      <c r="JE9" s="31"/>
      <c r="JF9" s="31"/>
      <c r="JG9" s="31"/>
      <c r="JH9" s="31"/>
      <c r="JI9" s="31"/>
      <c r="JJ9" s="31"/>
      <c r="JK9" s="31"/>
      <c r="JL9" s="31"/>
      <c r="JM9" s="31"/>
      <c r="JN9" s="31"/>
      <c r="JO9" s="31"/>
      <c r="JP9" s="31"/>
      <c r="JQ9" s="31"/>
      <c r="JR9" s="31"/>
      <c r="JS9" s="31"/>
      <c r="JT9" s="31"/>
      <c r="JU9" s="31"/>
      <c r="JV9" s="31"/>
      <c r="JW9" s="31"/>
      <c r="JX9" s="31"/>
      <c r="JY9" s="31"/>
      <c r="JZ9" s="31"/>
      <c r="KA9" s="31"/>
      <c r="KB9" s="31"/>
      <c r="KC9" s="31"/>
      <c r="KD9" s="31"/>
      <c r="KE9" s="31"/>
      <c r="KF9" s="31"/>
      <c r="KG9" s="31"/>
      <c r="KH9" s="31"/>
      <c r="KI9" s="31"/>
      <c r="KJ9" s="31"/>
      <c r="KK9" s="31"/>
      <c r="KL9" s="31"/>
      <c r="KM9" s="31"/>
      <c r="KN9" s="31"/>
      <c r="KO9" s="31"/>
      <c r="KP9" s="31"/>
      <c r="KQ9" s="31"/>
      <c r="KR9" s="31"/>
      <c r="KS9" s="31"/>
      <c r="KT9" s="31"/>
      <c r="KU9" s="31"/>
      <c r="KV9" s="31"/>
      <c r="KW9" s="31"/>
      <c r="KX9" s="31"/>
      <c r="KY9" s="31"/>
      <c r="KZ9" s="31"/>
      <c r="LA9" s="31"/>
      <c r="LB9" s="31"/>
      <c r="LC9" s="31"/>
      <c r="LD9" s="31"/>
      <c r="LE9" s="31"/>
      <c r="LF9" s="31"/>
      <c r="LG9" s="31"/>
      <c r="LH9" s="31"/>
      <c r="LI9" s="31"/>
      <c r="LJ9" s="31"/>
      <c r="LK9" s="31"/>
      <c r="LL9" s="31"/>
      <c r="LM9" s="31"/>
      <c r="LN9" s="31"/>
      <c r="LO9" s="31"/>
      <c r="LP9" s="31"/>
      <c r="LQ9" s="31"/>
      <c r="LR9" s="31"/>
      <c r="LS9" s="31"/>
      <c r="LT9" s="31"/>
      <c r="LU9" s="31"/>
      <c r="LV9" s="31"/>
      <c r="LW9" s="31"/>
      <c r="LX9" s="31"/>
      <c r="LY9" s="31"/>
      <c r="LZ9" s="31"/>
      <c r="MA9" s="31"/>
      <c r="MB9" s="31"/>
      <c r="MC9" s="31"/>
      <c r="MD9" s="31"/>
      <c r="ME9" s="31"/>
      <c r="MF9" s="31"/>
      <c r="MG9" s="31"/>
      <c r="MH9" s="31"/>
      <c r="MI9" s="31"/>
      <c r="MJ9" s="31"/>
      <c r="MK9" s="31"/>
      <c r="ML9" s="31"/>
      <c r="MM9" s="31"/>
      <c r="MN9" s="31"/>
      <c r="MO9" s="31"/>
      <c r="MP9" s="31"/>
      <c r="MQ9" s="31"/>
      <c r="MR9" s="31"/>
      <c r="MS9" s="31"/>
      <c r="MT9" s="31"/>
      <c r="MU9" s="31"/>
      <c r="MV9" s="31"/>
      <c r="MW9" s="31"/>
      <c r="MX9" s="31"/>
      <c r="MY9" s="31"/>
      <c r="MZ9" s="31"/>
      <c r="NA9" s="31"/>
      <c r="NB9" s="31"/>
      <c r="NC9" s="31"/>
      <c r="ND9" s="31"/>
      <c r="NE9" s="31"/>
      <c r="NF9" s="31"/>
      <c r="NG9" s="31"/>
      <c r="NH9" s="31"/>
      <c r="NI9" s="31"/>
      <c r="NJ9" s="31"/>
      <c r="NK9" s="31"/>
      <c r="NL9" s="31"/>
      <c r="NM9" s="31"/>
      <c r="NN9" s="31"/>
      <c r="NO9" s="31"/>
      <c r="NP9" s="31"/>
      <c r="NQ9" s="31"/>
      <c r="NR9" s="31"/>
      <c r="NS9" s="31"/>
      <c r="NT9" s="31"/>
      <c r="NU9" s="31"/>
      <c r="NV9" s="31"/>
      <c r="NW9" s="31"/>
      <c r="NX9" s="31"/>
      <c r="NY9" s="31"/>
      <c r="NZ9" s="31"/>
      <c r="OA9" s="31"/>
      <c r="OB9" s="31"/>
      <c r="OC9" s="31"/>
      <c r="OD9" s="31"/>
      <c r="OE9" s="31"/>
      <c r="OF9" s="31"/>
      <c r="OG9" s="31"/>
      <c r="OH9" s="31"/>
      <c r="OI9" s="31"/>
      <c r="OJ9" s="31"/>
      <c r="OK9" s="31"/>
      <c r="OL9" s="31"/>
      <c r="OM9" s="31"/>
      <c r="ON9" s="31"/>
      <c r="OO9" s="31"/>
      <c r="OP9" s="31"/>
      <c r="OQ9" s="31"/>
      <c r="OR9" s="31"/>
      <c r="OS9" s="31"/>
      <c r="OT9" s="31"/>
      <c r="OU9" s="31"/>
      <c r="OV9" s="31"/>
      <c r="OW9" s="31"/>
      <c r="OX9" s="31"/>
      <c r="OY9" s="31"/>
      <c r="OZ9" s="31"/>
      <c r="PA9" s="31"/>
      <c r="PB9" s="31"/>
      <c r="PC9" s="31"/>
      <c r="PD9" s="31"/>
      <c r="PE9" s="31"/>
      <c r="PF9" s="31"/>
      <c r="PG9" s="31"/>
      <c r="PH9" s="31"/>
      <c r="PI9" s="31"/>
      <c r="PJ9" s="31"/>
      <c r="PK9" s="31"/>
      <c r="PL9" s="31"/>
      <c r="PM9" s="31"/>
      <c r="PN9" s="31"/>
      <c r="PO9" s="31"/>
      <c r="PP9" s="31"/>
      <c r="PQ9" s="31"/>
      <c r="PR9" s="31"/>
      <c r="PS9" s="31"/>
      <c r="PT9" s="31"/>
      <c r="PU9" s="31"/>
      <c r="PV9" s="31"/>
      <c r="PW9" s="31"/>
      <c r="PX9" s="31"/>
      <c r="PY9" s="31"/>
      <c r="PZ9" s="31"/>
      <c r="QA9" s="31"/>
      <c r="QB9" s="31"/>
      <c r="QC9" s="31"/>
      <c r="QD9" s="31"/>
      <c r="QE9" s="31"/>
      <c r="QF9" s="31"/>
      <c r="QG9" s="31"/>
      <c r="QH9" s="31"/>
      <c r="QI9" s="31"/>
      <c r="QJ9" s="31"/>
      <c r="QK9" s="31"/>
      <c r="QL9" s="31"/>
      <c r="QM9" s="31"/>
      <c r="QN9" s="31"/>
      <c r="QO9" s="31"/>
      <c r="QP9" s="31"/>
      <c r="QQ9" s="31"/>
      <c r="QR9" s="31"/>
      <c r="QS9" s="31"/>
      <c r="QT9" s="31"/>
      <c r="QU9" s="31"/>
      <c r="QV9" s="31"/>
      <c r="QW9" s="31"/>
      <c r="QX9" s="31"/>
      <c r="QY9" s="31"/>
      <c r="QZ9" s="31"/>
      <c r="RA9" s="31"/>
      <c r="RB9" s="31"/>
      <c r="RC9" s="31"/>
      <c r="RD9" s="31"/>
      <c r="RE9" s="31"/>
      <c r="RF9" s="31"/>
      <c r="RG9" s="31"/>
      <c r="RH9" s="31"/>
      <c r="RI9" s="31"/>
      <c r="RJ9" s="31"/>
      <c r="RK9" s="31"/>
      <c r="RL9" s="31"/>
      <c r="RM9" s="31"/>
      <c r="RN9" s="31"/>
      <c r="RO9" s="31"/>
      <c r="RP9" s="31"/>
      <c r="RQ9" s="31"/>
      <c r="RR9" s="31"/>
      <c r="RS9" s="31"/>
      <c r="RT9" s="31"/>
      <c r="RU9" s="31"/>
      <c r="RV9" s="31"/>
      <c r="RW9" s="31"/>
      <c r="RX9" s="31"/>
      <c r="RY9" s="31"/>
      <c r="RZ9" s="31"/>
      <c r="SA9" s="31"/>
      <c r="SB9" s="31"/>
      <c r="SC9" s="31"/>
      <c r="SD9" s="31"/>
      <c r="SE9" s="31"/>
      <c r="SF9" s="31"/>
      <c r="SG9" s="31"/>
      <c r="SH9" s="31"/>
      <c r="SI9" s="31"/>
      <c r="SJ9" s="82"/>
      <c r="SK9" s="6"/>
    </row>
    <row r="10" ht="14.25" customHeight="1">
      <c r="A10" s="80" t="s">
        <v>567</v>
      </c>
      <c r="B10" s="30" t="s">
        <v>572</v>
      </c>
      <c r="C10" s="81"/>
      <c r="D10" s="74">
        <f t="shared" si="1"/>
        <v>0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  <c r="EY10" s="31"/>
      <c r="EZ10" s="31"/>
      <c r="FA10" s="31"/>
      <c r="FB10" s="31"/>
      <c r="FC10" s="31"/>
      <c r="FD10" s="31"/>
      <c r="FE10" s="31"/>
      <c r="FF10" s="31"/>
      <c r="FG10" s="31"/>
      <c r="FH10" s="31"/>
      <c r="FI10" s="31"/>
      <c r="FJ10" s="31"/>
      <c r="FK10" s="31"/>
      <c r="FL10" s="31"/>
      <c r="FM10" s="31"/>
      <c r="FN10" s="31"/>
      <c r="FO10" s="31"/>
      <c r="FP10" s="31"/>
      <c r="FQ10" s="31"/>
      <c r="FR10" s="31"/>
      <c r="FS10" s="31"/>
      <c r="FT10" s="31"/>
      <c r="FU10" s="31"/>
      <c r="FV10" s="31"/>
      <c r="FW10" s="31"/>
      <c r="FX10" s="31"/>
      <c r="FY10" s="31"/>
      <c r="FZ10" s="31"/>
      <c r="GA10" s="31"/>
      <c r="GB10" s="31"/>
      <c r="GC10" s="31"/>
      <c r="GD10" s="31"/>
      <c r="GE10" s="31"/>
      <c r="GF10" s="31"/>
      <c r="GG10" s="31"/>
      <c r="GH10" s="31"/>
      <c r="GI10" s="31"/>
      <c r="GJ10" s="31"/>
      <c r="GK10" s="31"/>
      <c r="GL10" s="31"/>
      <c r="GM10" s="31"/>
      <c r="GN10" s="31"/>
      <c r="GO10" s="31"/>
      <c r="GP10" s="31"/>
      <c r="GQ10" s="31"/>
      <c r="GR10" s="31"/>
      <c r="GS10" s="31"/>
      <c r="GT10" s="31"/>
      <c r="GU10" s="31"/>
      <c r="GV10" s="31"/>
      <c r="GW10" s="31"/>
      <c r="GX10" s="31"/>
      <c r="GY10" s="31"/>
      <c r="GZ10" s="31"/>
      <c r="HA10" s="31"/>
      <c r="HB10" s="31"/>
      <c r="HC10" s="31"/>
      <c r="HD10" s="31"/>
      <c r="HE10" s="31"/>
      <c r="HF10" s="31"/>
      <c r="HG10" s="31"/>
      <c r="HH10" s="31"/>
      <c r="HI10" s="31"/>
      <c r="HJ10" s="31"/>
      <c r="HK10" s="31"/>
      <c r="HL10" s="31"/>
      <c r="HM10" s="31"/>
      <c r="HN10" s="31"/>
      <c r="HO10" s="31"/>
      <c r="HP10" s="31"/>
      <c r="HQ10" s="31"/>
      <c r="HR10" s="31"/>
      <c r="HS10" s="31"/>
      <c r="HT10" s="31"/>
      <c r="HU10" s="31"/>
      <c r="HV10" s="31"/>
      <c r="HW10" s="31"/>
      <c r="HX10" s="31"/>
      <c r="HY10" s="31"/>
      <c r="HZ10" s="31"/>
      <c r="IA10" s="31"/>
      <c r="IB10" s="31"/>
      <c r="IC10" s="31"/>
      <c r="ID10" s="31"/>
      <c r="IE10" s="31"/>
      <c r="IF10" s="31"/>
      <c r="IG10" s="31"/>
      <c r="IH10" s="31"/>
      <c r="II10" s="31"/>
      <c r="IJ10" s="31"/>
      <c r="IK10" s="31"/>
      <c r="IL10" s="31"/>
      <c r="IM10" s="31"/>
      <c r="IN10" s="31"/>
      <c r="IO10" s="31"/>
      <c r="IP10" s="31"/>
      <c r="IQ10" s="31"/>
      <c r="IR10" s="31"/>
      <c r="IS10" s="31"/>
      <c r="IT10" s="31"/>
      <c r="IU10" s="31"/>
      <c r="IV10" s="31"/>
      <c r="IW10" s="31"/>
      <c r="IX10" s="31"/>
      <c r="IY10" s="31"/>
      <c r="IZ10" s="31"/>
      <c r="JA10" s="31"/>
      <c r="JB10" s="31"/>
      <c r="JC10" s="31"/>
      <c r="JD10" s="31"/>
      <c r="JE10" s="31"/>
      <c r="JF10" s="31"/>
      <c r="JG10" s="31"/>
      <c r="JH10" s="31"/>
      <c r="JI10" s="31"/>
      <c r="JJ10" s="31"/>
      <c r="JK10" s="31"/>
      <c r="JL10" s="31"/>
      <c r="JM10" s="31"/>
      <c r="JN10" s="31"/>
      <c r="JO10" s="31"/>
      <c r="JP10" s="31"/>
      <c r="JQ10" s="31"/>
      <c r="JR10" s="31"/>
      <c r="JS10" s="31"/>
      <c r="JT10" s="31"/>
      <c r="JU10" s="31"/>
      <c r="JV10" s="31"/>
      <c r="JW10" s="31"/>
      <c r="JX10" s="31"/>
      <c r="JY10" s="31"/>
      <c r="JZ10" s="31"/>
      <c r="KA10" s="31"/>
      <c r="KB10" s="31"/>
      <c r="KC10" s="31"/>
      <c r="KD10" s="31"/>
      <c r="KE10" s="31"/>
      <c r="KF10" s="31"/>
      <c r="KG10" s="31"/>
      <c r="KH10" s="31"/>
      <c r="KI10" s="31"/>
      <c r="KJ10" s="31"/>
      <c r="KK10" s="31"/>
      <c r="KL10" s="31"/>
      <c r="KM10" s="31"/>
      <c r="KN10" s="31"/>
      <c r="KO10" s="31"/>
      <c r="KP10" s="31"/>
      <c r="KQ10" s="31"/>
      <c r="KR10" s="31"/>
      <c r="KS10" s="31"/>
      <c r="KT10" s="31"/>
      <c r="KU10" s="31"/>
      <c r="KV10" s="31"/>
      <c r="KW10" s="31"/>
      <c r="KX10" s="31"/>
      <c r="KY10" s="31"/>
      <c r="KZ10" s="31"/>
      <c r="LA10" s="31"/>
      <c r="LB10" s="31"/>
      <c r="LC10" s="31"/>
      <c r="LD10" s="31"/>
      <c r="LE10" s="31"/>
      <c r="LF10" s="31"/>
      <c r="LG10" s="31"/>
      <c r="LH10" s="31"/>
      <c r="LI10" s="31"/>
      <c r="LJ10" s="31"/>
      <c r="LK10" s="31"/>
      <c r="LL10" s="31"/>
      <c r="LM10" s="31"/>
      <c r="LN10" s="31"/>
      <c r="LO10" s="31"/>
      <c r="LP10" s="31"/>
      <c r="LQ10" s="31"/>
      <c r="LR10" s="31"/>
      <c r="LS10" s="31"/>
      <c r="LT10" s="31"/>
      <c r="LU10" s="31"/>
      <c r="LV10" s="31"/>
      <c r="LW10" s="31"/>
      <c r="LX10" s="31"/>
      <c r="LY10" s="31"/>
      <c r="LZ10" s="31"/>
      <c r="MA10" s="31"/>
      <c r="MB10" s="31"/>
      <c r="MC10" s="31"/>
      <c r="MD10" s="31"/>
      <c r="ME10" s="31"/>
      <c r="MF10" s="31"/>
      <c r="MG10" s="31"/>
      <c r="MH10" s="31"/>
      <c r="MI10" s="31"/>
      <c r="MJ10" s="31"/>
      <c r="MK10" s="31"/>
      <c r="ML10" s="31"/>
      <c r="MM10" s="31"/>
      <c r="MN10" s="31"/>
      <c r="MO10" s="31"/>
      <c r="MP10" s="31"/>
      <c r="MQ10" s="31"/>
      <c r="MR10" s="31"/>
      <c r="MS10" s="31"/>
      <c r="MT10" s="31"/>
      <c r="MU10" s="31"/>
      <c r="MV10" s="31"/>
      <c r="MW10" s="31"/>
      <c r="MX10" s="31"/>
      <c r="MY10" s="31"/>
      <c r="MZ10" s="31"/>
      <c r="NA10" s="31"/>
      <c r="NB10" s="31"/>
      <c r="NC10" s="31"/>
      <c r="ND10" s="31"/>
      <c r="NE10" s="31"/>
      <c r="NF10" s="31"/>
      <c r="NG10" s="31"/>
      <c r="NH10" s="31"/>
      <c r="NI10" s="31"/>
      <c r="NJ10" s="31"/>
      <c r="NK10" s="31"/>
      <c r="NL10" s="31"/>
      <c r="NM10" s="31"/>
      <c r="NN10" s="31"/>
      <c r="NO10" s="31"/>
      <c r="NP10" s="31"/>
      <c r="NQ10" s="31"/>
      <c r="NR10" s="31"/>
      <c r="NS10" s="31"/>
      <c r="NT10" s="31"/>
      <c r="NU10" s="31"/>
      <c r="NV10" s="31"/>
      <c r="NW10" s="31"/>
      <c r="NX10" s="31"/>
      <c r="NY10" s="31"/>
      <c r="NZ10" s="31"/>
      <c r="OA10" s="31"/>
      <c r="OB10" s="31"/>
      <c r="OC10" s="31"/>
      <c r="OD10" s="31"/>
      <c r="OE10" s="31"/>
      <c r="OF10" s="31"/>
      <c r="OG10" s="31"/>
      <c r="OH10" s="31"/>
      <c r="OI10" s="31"/>
      <c r="OJ10" s="31"/>
      <c r="OK10" s="31"/>
      <c r="OL10" s="31"/>
      <c r="OM10" s="31"/>
      <c r="ON10" s="31"/>
      <c r="OO10" s="31"/>
      <c r="OP10" s="31"/>
      <c r="OQ10" s="31"/>
      <c r="OR10" s="31"/>
      <c r="OS10" s="31"/>
      <c r="OT10" s="31"/>
      <c r="OU10" s="31"/>
      <c r="OV10" s="31"/>
      <c r="OW10" s="31"/>
      <c r="OX10" s="31"/>
      <c r="OY10" s="31"/>
      <c r="OZ10" s="31"/>
      <c r="PA10" s="31"/>
      <c r="PB10" s="31"/>
      <c r="PC10" s="31"/>
      <c r="PD10" s="31"/>
      <c r="PE10" s="31"/>
      <c r="PF10" s="31"/>
      <c r="PG10" s="31"/>
      <c r="PH10" s="31"/>
      <c r="PI10" s="31"/>
      <c r="PJ10" s="31"/>
      <c r="PK10" s="31"/>
      <c r="PL10" s="31"/>
      <c r="PM10" s="31"/>
      <c r="PN10" s="31"/>
      <c r="PO10" s="31"/>
      <c r="PP10" s="31"/>
      <c r="PQ10" s="31"/>
      <c r="PR10" s="31"/>
      <c r="PS10" s="31"/>
      <c r="PT10" s="31"/>
      <c r="PU10" s="31"/>
      <c r="PV10" s="31"/>
      <c r="PW10" s="31"/>
      <c r="PX10" s="31"/>
      <c r="PY10" s="31"/>
      <c r="PZ10" s="31"/>
      <c r="QA10" s="31"/>
      <c r="QB10" s="31"/>
      <c r="QC10" s="31"/>
      <c r="QD10" s="31"/>
      <c r="QE10" s="31"/>
      <c r="QF10" s="31"/>
      <c r="QG10" s="31"/>
      <c r="QH10" s="31"/>
      <c r="QI10" s="31"/>
      <c r="QJ10" s="31"/>
      <c r="QK10" s="31"/>
      <c r="QL10" s="31"/>
      <c r="QM10" s="31"/>
      <c r="QN10" s="31"/>
      <c r="QO10" s="31"/>
      <c r="QP10" s="31"/>
      <c r="QQ10" s="31"/>
      <c r="QR10" s="31"/>
      <c r="QS10" s="31"/>
      <c r="QT10" s="31"/>
      <c r="QU10" s="31"/>
      <c r="QV10" s="31"/>
      <c r="QW10" s="31"/>
      <c r="QX10" s="31"/>
      <c r="QY10" s="31"/>
      <c r="QZ10" s="31"/>
      <c r="RA10" s="31"/>
      <c r="RB10" s="31"/>
      <c r="RC10" s="31"/>
      <c r="RD10" s="31"/>
      <c r="RE10" s="31"/>
      <c r="RF10" s="31"/>
      <c r="RG10" s="31"/>
      <c r="RH10" s="31"/>
      <c r="RI10" s="31"/>
      <c r="RJ10" s="31"/>
      <c r="RK10" s="31"/>
      <c r="RL10" s="31"/>
      <c r="RM10" s="31"/>
      <c r="RN10" s="31"/>
      <c r="RO10" s="31"/>
      <c r="RP10" s="31"/>
      <c r="RQ10" s="31"/>
      <c r="RR10" s="31"/>
      <c r="RS10" s="31"/>
      <c r="RT10" s="31"/>
      <c r="RU10" s="31"/>
      <c r="RV10" s="31"/>
      <c r="RW10" s="31"/>
      <c r="RX10" s="31"/>
      <c r="RY10" s="31"/>
      <c r="RZ10" s="31"/>
      <c r="SA10" s="31"/>
      <c r="SB10" s="31"/>
      <c r="SC10" s="31"/>
      <c r="SD10" s="31"/>
      <c r="SE10" s="31"/>
      <c r="SF10" s="31"/>
      <c r="SG10" s="31"/>
      <c r="SH10" s="31"/>
      <c r="SI10" s="31"/>
      <c r="SJ10" s="82"/>
      <c r="SK10" s="6"/>
    </row>
    <row r="11" ht="14.25" customHeight="1">
      <c r="A11" s="80" t="s">
        <v>567</v>
      </c>
      <c r="B11" s="30" t="s">
        <v>573</v>
      </c>
      <c r="C11" s="81"/>
      <c r="D11" s="74">
        <f t="shared" si="1"/>
        <v>120240.12</v>
      </c>
      <c r="E11" s="83"/>
      <c r="F11" s="83">
        <v>600.0</v>
      </c>
      <c r="G11" s="83">
        <v>950.0</v>
      </c>
      <c r="H11" s="83">
        <v>-37.5</v>
      </c>
      <c r="I11" s="83">
        <v>-502.5</v>
      </c>
      <c r="J11" s="83">
        <v>-2748.0</v>
      </c>
      <c r="K11" s="83">
        <v>-337.4</v>
      </c>
      <c r="L11" s="83">
        <v>-49.0</v>
      </c>
      <c r="M11" s="83">
        <v>651.15</v>
      </c>
      <c r="N11" s="83">
        <v>-930.0</v>
      </c>
      <c r="O11" s="83">
        <v>-298.26</v>
      </c>
      <c r="P11" s="83">
        <v>-459.7</v>
      </c>
      <c r="Q11" s="83">
        <v>-524.0</v>
      </c>
      <c r="R11" s="83">
        <v>-179.0</v>
      </c>
      <c r="S11" s="83">
        <v>-554.0</v>
      </c>
      <c r="T11" s="83">
        <v>-548.05</v>
      </c>
      <c r="U11" s="83">
        <v>-285.6</v>
      </c>
      <c r="V11" s="83">
        <v>200.0</v>
      </c>
      <c r="W11" s="83">
        <v>900.0</v>
      </c>
      <c r="X11" s="83">
        <v>1000.0</v>
      </c>
      <c r="Y11" s="83">
        <v>-110.5</v>
      </c>
      <c r="Z11" s="83">
        <v>-4122.3</v>
      </c>
      <c r="AA11" s="83">
        <v>-39.0</v>
      </c>
      <c r="AB11" s="83">
        <v>-816.0</v>
      </c>
      <c r="AC11" s="83">
        <v>-179.0</v>
      </c>
      <c r="AD11" s="83">
        <v>1000.0</v>
      </c>
      <c r="AE11" s="83">
        <v>150.0</v>
      </c>
      <c r="AF11" s="83">
        <v>-10.0</v>
      </c>
      <c r="AG11" s="83">
        <v>35381.12</v>
      </c>
      <c r="AH11" s="83">
        <v>88686.09</v>
      </c>
      <c r="AI11" s="83">
        <v>-9000.0</v>
      </c>
      <c r="AJ11" s="83">
        <v>4060.13</v>
      </c>
      <c r="AK11" s="83">
        <v>689.49</v>
      </c>
      <c r="AL11" s="83">
        <v>-179.0</v>
      </c>
      <c r="AM11" s="83">
        <v>-99.5</v>
      </c>
      <c r="AN11" s="83">
        <v>-509.0</v>
      </c>
      <c r="AO11" s="83">
        <v>-6922.94</v>
      </c>
      <c r="AP11" s="83">
        <v>-4520.44</v>
      </c>
      <c r="AQ11" s="83">
        <v>1050.0</v>
      </c>
      <c r="AR11" s="83">
        <v>400.0</v>
      </c>
      <c r="AS11" s="83">
        <v>-130.5</v>
      </c>
      <c r="AT11" s="83">
        <v>-347.5</v>
      </c>
      <c r="AU11" s="83">
        <v>-494.3</v>
      </c>
      <c r="AV11" s="83">
        <v>-597.5</v>
      </c>
      <c r="AW11" s="83">
        <v>-145.7</v>
      </c>
      <c r="AX11" s="83">
        <v>-5091.3</v>
      </c>
      <c r="AY11" s="83">
        <v>-5878.0</v>
      </c>
      <c r="AZ11" s="83">
        <v>-1033.2</v>
      </c>
      <c r="BA11" s="83">
        <v>-317.5</v>
      </c>
      <c r="BB11" s="83">
        <v>-179.0</v>
      </c>
      <c r="BC11" s="83">
        <v>-27.0</v>
      </c>
      <c r="BD11" s="83">
        <v>-1199.0</v>
      </c>
      <c r="BE11" s="83">
        <v>-294.5</v>
      </c>
      <c r="BF11" s="83">
        <v>-903.8</v>
      </c>
      <c r="BG11" s="83">
        <v>-2514.0</v>
      </c>
      <c r="BH11" s="83">
        <v>-129.6</v>
      </c>
      <c r="BI11" s="83">
        <v>-4102.9</v>
      </c>
      <c r="BJ11" s="83">
        <v>-1134.6</v>
      </c>
      <c r="BK11" s="83">
        <v>300.0</v>
      </c>
      <c r="BL11" s="83">
        <v>300.0</v>
      </c>
      <c r="BM11" s="83">
        <v>2298.0</v>
      </c>
      <c r="BN11" s="83">
        <v>-4421.9</v>
      </c>
      <c r="BO11" s="83">
        <v>-139.5</v>
      </c>
      <c r="BP11" s="83">
        <v>-331.9</v>
      </c>
      <c r="BQ11" s="83">
        <v>-312.5</v>
      </c>
      <c r="BR11" s="83">
        <v>-381.0</v>
      </c>
      <c r="BS11" s="83">
        <v>-179.0</v>
      </c>
      <c r="BT11" s="84">
        <v>-6653.07</v>
      </c>
      <c r="BU11" s="83">
        <v>-1130.04</v>
      </c>
      <c r="BV11" s="83">
        <v>-823.6</v>
      </c>
      <c r="BW11" s="83">
        <v>-2531.0</v>
      </c>
      <c r="BX11" s="83">
        <v>-1415.0</v>
      </c>
      <c r="BY11" s="83">
        <v>200.0</v>
      </c>
      <c r="BZ11" s="31"/>
      <c r="CA11" s="83">
        <v>-125.0</v>
      </c>
      <c r="CB11" s="83">
        <v>1547.58</v>
      </c>
      <c r="CC11" s="83">
        <v>-309.0</v>
      </c>
      <c r="CD11" s="83">
        <v>-649.5</v>
      </c>
      <c r="CE11" s="83">
        <v>-757.51</v>
      </c>
      <c r="CF11" s="83">
        <v>1130.04</v>
      </c>
      <c r="CG11" s="83">
        <v>-566.8</v>
      </c>
      <c r="CH11" s="83">
        <v>-309.0</v>
      </c>
      <c r="CI11" s="83">
        <v>-329.0</v>
      </c>
      <c r="CJ11" s="83">
        <v>-1409.0</v>
      </c>
      <c r="CK11" s="83">
        <v>-209.0</v>
      </c>
      <c r="CL11" s="83">
        <v>60209.43</v>
      </c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D11" s="31"/>
      <c r="FE11" s="31"/>
      <c r="FF11" s="31"/>
      <c r="FG11" s="31"/>
      <c r="FH11" s="31"/>
      <c r="FI11" s="31"/>
      <c r="FJ11" s="31"/>
      <c r="FK11" s="31"/>
      <c r="FL11" s="31"/>
      <c r="FM11" s="31"/>
      <c r="FN11" s="31"/>
      <c r="FO11" s="31"/>
      <c r="FP11" s="31"/>
      <c r="FQ11" s="31"/>
      <c r="FR11" s="31"/>
      <c r="FS11" s="31"/>
      <c r="FT11" s="31"/>
      <c r="FU11" s="31"/>
      <c r="FV11" s="31"/>
      <c r="FW11" s="31"/>
      <c r="FX11" s="31"/>
      <c r="FY11" s="31"/>
      <c r="FZ11" s="31"/>
      <c r="GA11" s="31"/>
      <c r="GB11" s="31"/>
      <c r="GC11" s="31"/>
      <c r="GD11" s="31"/>
      <c r="GE11" s="31"/>
      <c r="GF11" s="31"/>
      <c r="GG11" s="31"/>
      <c r="GH11" s="31"/>
      <c r="GI11" s="31"/>
      <c r="GJ11" s="31"/>
      <c r="GK11" s="31"/>
      <c r="GL11" s="31"/>
      <c r="GM11" s="31"/>
      <c r="GN11" s="31"/>
      <c r="GO11" s="31"/>
      <c r="GP11" s="31"/>
      <c r="GQ11" s="31"/>
      <c r="GR11" s="31"/>
      <c r="GS11" s="31"/>
      <c r="GT11" s="31"/>
      <c r="GU11" s="31"/>
      <c r="GV11" s="31"/>
      <c r="GW11" s="31"/>
      <c r="GX11" s="31"/>
      <c r="GY11" s="31"/>
      <c r="GZ11" s="31"/>
      <c r="HA11" s="31"/>
      <c r="HB11" s="31"/>
      <c r="HC11" s="31"/>
      <c r="HD11" s="31"/>
      <c r="HE11" s="31"/>
      <c r="HF11" s="31"/>
      <c r="HG11" s="31"/>
      <c r="HH11" s="31"/>
      <c r="HI11" s="31"/>
      <c r="HJ11" s="31"/>
      <c r="HK11" s="31"/>
      <c r="HL11" s="31"/>
      <c r="HM11" s="31"/>
      <c r="HN11" s="31"/>
      <c r="HO11" s="31"/>
      <c r="HP11" s="31"/>
      <c r="HQ11" s="31"/>
      <c r="HR11" s="31"/>
      <c r="HS11" s="31"/>
      <c r="HT11" s="31"/>
      <c r="HU11" s="31"/>
      <c r="HV11" s="31"/>
      <c r="HW11" s="31"/>
      <c r="HX11" s="31"/>
      <c r="HY11" s="31"/>
      <c r="HZ11" s="31"/>
      <c r="IA11" s="31"/>
      <c r="IB11" s="31"/>
      <c r="IC11" s="31"/>
      <c r="ID11" s="31"/>
      <c r="IE11" s="31"/>
      <c r="IF11" s="31"/>
      <c r="IG11" s="31"/>
      <c r="IH11" s="31"/>
      <c r="II11" s="31"/>
      <c r="IJ11" s="31"/>
      <c r="IK11" s="31"/>
      <c r="IL11" s="31"/>
      <c r="IM11" s="31"/>
      <c r="IN11" s="31"/>
      <c r="IO11" s="31"/>
      <c r="IP11" s="31"/>
      <c r="IQ11" s="31"/>
      <c r="IR11" s="31"/>
      <c r="IS11" s="31"/>
      <c r="IT11" s="31"/>
      <c r="IU11" s="31"/>
      <c r="IV11" s="31"/>
      <c r="IW11" s="31"/>
      <c r="IX11" s="31"/>
      <c r="IY11" s="31"/>
      <c r="IZ11" s="31"/>
      <c r="JA11" s="31"/>
      <c r="JB11" s="31"/>
      <c r="JC11" s="31"/>
      <c r="JD11" s="31"/>
      <c r="JE11" s="31"/>
      <c r="JF11" s="31"/>
      <c r="JG11" s="31"/>
      <c r="JH11" s="31"/>
      <c r="JI11" s="31"/>
      <c r="JJ11" s="31"/>
      <c r="JK11" s="31"/>
      <c r="JL11" s="31"/>
      <c r="JM11" s="31"/>
      <c r="JN11" s="31"/>
      <c r="JO11" s="31"/>
      <c r="JP11" s="31"/>
      <c r="JQ11" s="31"/>
      <c r="JR11" s="31"/>
      <c r="JS11" s="31"/>
      <c r="JT11" s="31"/>
      <c r="JU11" s="31"/>
      <c r="JV11" s="31"/>
      <c r="JW11" s="31"/>
      <c r="JX11" s="31"/>
      <c r="JY11" s="31"/>
      <c r="JZ11" s="31"/>
      <c r="KA11" s="31"/>
      <c r="KB11" s="31"/>
      <c r="KC11" s="31"/>
      <c r="KD11" s="31"/>
      <c r="KE11" s="31"/>
      <c r="KF11" s="31"/>
      <c r="KG11" s="31"/>
      <c r="KH11" s="31"/>
      <c r="KI11" s="31"/>
      <c r="KJ11" s="31"/>
      <c r="KK11" s="31"/>
      <c r="KL11" s="31"/>
      <c r="KM11" s="31"/>
      <c r="KN11" s="31"/>
      <c r="KO11" s="31"/>
      <c r="KP11" s="31"/>
      <c r="KQ11" s="31"/>
      <c r="KR11" s="31"/>
      <c r="KS11" s="31"/>
      <c r="KT11" s="31"/>
      <c r="KU11" s="31"/>
      <c r="KV11" s="31"/>
      <c r="KW11" s="31"/>
      <c r="KX11" s="31"/>
      <c r="KY11" s="31"/>
      <c r="KZ11" s="31"/>
      <c r="LA11" s="31"/>
      <c r="LB11" s="31"/>
      <c r="LC11" s="31"/>
      <c r="LD11" s="31"/>
      <c r="LE11" s="31"/>
      <c r="LF11" s="31"/>
      <c r="LG11" s="31"/>
      <c r="LH11" s="31"/>
      <c r="LI11" s="31"/>
      <c r="LJ11" s="31"/>
      <c r="LK11" s="31"/>
      <c r="LL11" s="31"/>
      <c r="LM11" s="31"/>
      <c r="LN11" s="31"/>
      <c r="LO11" s="31"/>
      <c r="LP11" s="31"/>
      <c r="LQ11" s="31"/>
      <c r="LR11" s="31"/>
      <c r="LS11" s="31"/>
      <c r="LT11" s="31"/>
      <c r="LU11" s="31"/>
      <c r="LV11" s="31"/>
      <c r="LW11" s="31"/>
      <c r="LX11" s="31"/>
      <c r="LY11" s="31"/>
      <c r="LZ11" s="31"/>
      <c r="MA11" s="31"/>
      <c r="MB11" s="31"/>
      <c r="MC11" s="31"/>
      <c r="MD11" s="31"/>
      <c r="ME11" s="31"/>
      <c r="MF11" s="31"/>
      <c r="MG11" s="31"/>
      <c r="MH11" s="31"/>
      <c r="MI11" s="31"/>
      <c r="MJ11" s="31"/>
      <c r="MK11" s="31"/>
      <c r="ML11" s="31"/>
      <c r="MM11" s="31"/>
      <c r="MN11" s="31"/>
      <c r="MO11" s="31"/>
      <c r="MP11" s="31"/>
      <c r="MQ11" s="31"/>
      <c r="MR11" s="31"/>
      <c r="MS11" s="31"/>
      <c r="MT11" s="31"/>
      <c r="MU11" s="31"/>
      <c r="MV11" s="31"/>
      <c r="MW11" s="31"/>
      <c r="MX11" s="31"/>
      <c r="MY11" s="31"/>
      <c r="MZ11" s="31"/>
      <c r="NA11" s="31"/>
      <c r="NB11" s="31"/>
      <c r="NC11" s="31"/>
      <c r="ND11" s="31"/>
      <c r="NE11" s="31"/>
      <c r="NF11" s="31"/>
      <c r="NG11" s="31"/>
      <c r="NH11" s="31"/>
      <c r="NI11" s="31"/>
      <c r="NJ11" s="31"/>
      <c r="NK11" s="31"/>
      <c r="NL11" s="31"/>
      <c r="NM11" s="31"/>
      <c r="NN11" s="31"/>
      <c r="NO11" s="31"/>
      <c r="NP11" s="31"/>
      <c r="NQ11" s="31"/>
      <c r="NR11" s="31"/>
      <c r="NS11" s="31"/>
      <c r="NT11" s="31"/>
      <c r="NU11" s="31"/>
      <c r="NV11" s="31"/>
      <c r="NW11" s="31"/>
      <c r="NX11" s="31"/>
      <c r="NY11" s="31"/>
      <c r="NZ11" s="31"/>
      <c r="OA11" s="31"/>
      <c r="OB11" s="31"/>
      <c r="OC11" s="31"/>
      <c r="OD11" s="31"/>
      <c r="OE11" s="31"/>
      <c r="OF11" s="31"/>
      <c r="OG11" s="31"/>
      <c r="OH11" s="31"/>
      <c r="OI11" s="31"/>
      <c r="OJ11" s="31"/>
      <c r="OK11" s="31"/>
      <c r="OL11" s="31"/>
      <c r="OM11" s="31"/>
      <c r="ON11" s="31"/>
      <c r="OO11" s="31"/>
      <c r="OP11" s="31"/>
      <c r="OQ11" s="31"/>
      <c r="OR11" s="31"/>
      <c r="OS11" s="31"/>
      <c r="OT11" s="31"/>
      <c r="OU11" s="31"/>
      <c r="OV11" s="31"/>
      <c r="OW11" s="31"/>
      <c r="OX11" s="31"/>
      <c r="OY11" s="31"/>
      <c r="OZ11" s="31"/>
      <c r="PA11" s="31"/>
      <c r="PB11" s="31"/>
      <c r="PC11" s="31"/>
      <c r="PD11" s="31"/>
      <c r="PE11" s="31"/>
      <c r="PF11" s="31"/>
      <c r="PG11" s="31"/>
      <c r="PH11" s="31"/>
      <c r="PI11" s="31"/>
      <c r="PJ11" s="31"/>
      <c r="PK11" s="31"/>
      <c r="PL11" s="31"/>
      <c r="PM11" s="31"/>
      <c r="PN11" s="31"/>
      <c r="PO11" s="31"/>
      <c r="PP11" s="31"/>
      <c r="PQ11" s="31"/>
      <c r="PR11" s="31"/>
      <c r="PS11" s="31"/>
      <c r="PT11" s="31"/>
      <c r="PU11" s="31"/>
      <c r="PV11" s="31"/>
      <c r="PW11" s="31"/>
      <c r="PX11" s="31"/>
      <c r="PY11" s="31"/>
      <c r="PZ11" s="31"/>
      <c r="QA11" s="31"/>
      <c r="QB11" s="31"/>
      <c r="QC11" s="31"/>
      <c r="QD11" s="31"/>
      <c r="QE11" s="31"/>
      <c r="QF11" s="31"/>
      <c r="QG11" s="31"/>
      <c r="QH11" s="31"/>
      <c r="QI11" s="31"/>
      <c r="QJ11" s="31"/>
      <c r="QK11" s="31"/>
      <c r="QL11" s="31"/>
      <c r="QM11" s="31"/>
      <c r="QN11" s="31"/>
      <c r="QO11" s="31"/>
      <c r="QP11" s="31"/>
      <c r="QQ11" s="31"/>
      <c r="QR11" s="31"/>
      <c r="QS11" s="31"/>
      <c r="QT11" s="31"/>
      <c r="QU11" s="31"/>
      <c r="QV11" s="31"/>
      <c r="QW11" s="31"/>
      <c r="QX11" s="31"/>
      <c r="QY11" s="31"/>
      <c r="QZ11" s="31"/>
      <c r="RA11" s="31"/>
      <c r="RB11" s="31"/>
      <c r="RC11" s="31"/>
      <c r="RD11" s="31"/>
      <c r="RE11" s="31"/>
      <c r="RF11" s="31"/>
      <c r="RG11" s="31"/>
      <c r="RH11" s="31"/>
      <c r="RI11" s="31"/>
      <c r="RJ11" s="31"/>
      <c r="RK11" s="31"/>
      <c r="RL11" s="31"/>
      <c r="RM11" s="31"/>
      <c r="RN11" s="31"/>
      <c r="RO11" s="31"/>
      <c r="RP11" s="31"/>
      <c r="RQ11" s="31"/>
      <c r="RR11" s="31"/>
      <c r="RS11" s="31"/>
      <c r="RT11" s="31"/>
      <c r="RU11" s="31"/>
      <c r="RV11" s="31"/>
      <c r="RW11" s="31"/>
      <c r="RX11" s="31"/>
      <c r="RY11" s="31"/>
      <c r="RZ11" s="31"/>
      <c r="SA11" s="31"/>
      <c r="SB11" s="31"/>
      <c r="SC11" s="31"/>
      <c r="SD11" s="31"/>
      <c r="SE11" s="31"/>
      <c r="SF11" s="31"/>
      <c r="SG11" s="31"/>
      <c r="SH11" s="31"/>
      <c r="SI11" s="31"/>
      <c r="SJ11" s="82"/>
      <c r="SK11" s="6"/>
    </row>
    <row r="12" ht="14.25" customHeight="1">
      <c r="A12" s="80" t="s">
        <v>567</v>
      </c>
      <c r="B12" s="30" t="s">
        <v>574</v>
      </c>
      <c r="C12" s="81"/>
      <c r="D12" s="74">
        <f t="shared" si="1"/>
        <v>0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  <c r="EY12" s="31"/>
      <c r="EZ12" s="31"/>
      <c r="FA12" s="31"/>
      <c r="FB12" s="31"/>
      <c r="FC12" s="31"/>
      <c r="FD12" s="31"/>
      <c r="FE12" s="31"/>
      <c r="FF12" s="31"/>
      <c r="FG12" s="31"/>
      <c r="FH12" s="31"/>
      <c r="FI12" s="31"/>
      <c r="FJ12" s="31"/>
      <c r="FK12" s="31"/>
      <c r="FL12" s="31"/>
      <c r="FM12" s="31"/>
      <c r="FN12" s="31"/>
      <c r="FO12" s="31"/>
      <c r="FP12" s="31"/>
      <c r="FQ12" s="31"/>
      <c r="FR12" s="31"/>
      <c r="FS12" s="31"/>
      <c r="FT12" s="31"/>
      <c r="FU12" s="31"/>
      <c r="FV12" s="31"/>
      <c r="FW12" s="31"/>
      <c r="FX12" s="31"/>
      <c r="FY12" s="31"/>
      <c r="FZ12" s="31"/>
      <c r="GA12" s="31"/>
      <c r="GB12" s="31"/>
      <c r="GC12" s="31"/>
      <c r="GD12" s="31"/>
      <c r="GE12" s="31"/>
      <c r="GF12" s="31"/>
      <c r="GG12" s="31"/>
      <c r="GH12" s="31"/>
      <c r="GI12" s="31"/>
      <c r="GJ12" s="31"/>
      <c r="GK12" s="31"/>
      <c r="GL12" s="31"/>
      <c r="GM12" s="31"/>
      <c r="GN12" s="31"/>
      <c r="GO12" s="31"/>
      <c r="GP12" s="31"/>
      <c r="GQ12" s="31"/>
      <c r="GR12" s="31"/>
      <c r="GS12" s="31"/>
      <c r="GT12" s="31"/>
      <c r="GU12" s="31"/>
      <c r="GV12" s="31"/>
      <c r="GW12" s="31"/>
      <c r="GX12" s="31"/>
      <c r="GY12" s="31"/>
      <c r="GZ12" s="31"/>
      <c r="HA12" s="31"/>
      <c r="HB12" s="31"/>
      <c r="HC12" s="31"/>
      <c r="HD12" s="31"/>
      <c r="HE12" s="31"/>
      <c r="HF12" s="31"/>
      <c r="HG12" s="31"/>
      <c r="HH12" s="31"/>
      <c r="HI12" s="31"/>
      <c r="HJ12" s="31"/>
      <c r="HK12" s="31"/>
      <c r="HL12" s="31"/>
      <c r="HM12" s="31"/>
      <c r="HN12" s="31"/>
      <c r="HO12" s="31"/>
      <c r="HP12" s="31"/>
      <c r="HQ12" s="31"/>
      <c r="HR12" s="31"/>
      <c r="HS12" s="31"/>
      <c r="HT12" s="31"/>
      <c r="HU12" s="31"/>
      <c r="HV12" s="31"/>
      <c r="HW12" s="31"/>
      <c r="HX12" s="31"/>
      <c r="HY12" s="31"/>
      <c r="HZ12" s="31"/>
      <c r="IA12" s="31"/>
      <c r="IB12" s="31"/>
      <c r="IC12" s="31"/>
      <c r="ID12" s="31"/>
      <c r="IE12" s="31"/>
      <c r="IF12" s="31"/>
      <c r="IG12" s="31"/>
      <c r="IH12" s="31"/>
      <c r="II12" s="31"/>
      <c r="IJ12" s="31"/>
      <c r="IK12" s="31"/>
      <c r="IL12" s="31"/>
      <c r="IM12" s="31"/>
      <c r="IN12" s="31"/>
      <c r="IO12" s="31"/>
      <c r="IP12" s="31"/>
      <c r="IQ12" s="31"/>
      <c r="IR12" s="31"/>
      <c r="IS12" s="31"/>
      <c r="IT12" s="31"/>
      <c r="IU12" s="31"/>
      <c r="IV12" s="31"/>
      <c r="IW12" s="31"/>
      <c r="IX12" s="31"/>
      <c r="IY12" s="31"/>
      <c r="IZ12" s="31"/>
      <c r="JA12" s="31"/>
      <c r="JB12" s="31"/>
      <c r="JC12" s="31"/>
      <c r="JD12" s="31"/>
      <c r="JE12" s="31"/>
      <c r="JF12" s="31"/>
      <c r="JG12" s="31"/>
      <c r="JH12" s="31"/>
      <c r="JI12" s="31"/>
      <c r="JJ12" s="31"/>
      <c r="JK12" s="31"/>
      <c r="JL12" s="31"/>
      <c r="JM12" s="31"/>
      <c r="JN12" s="31"/>
      <c r="JO12" s="31"/>
      <c r="JP12" s="31"/>
      <c r="JQ12" s="31"/>
      <c r="JR12" s="31"/>
      <c r="JS12" s="31"/>
      <c r="JT12" s="31"/>
      <c r="JU12" s="31"/>
      <c r="JV12" s="31"/>
      <c r="JW12" s="31"/>
      <c r="JX12" s="31"/>
      <c r="JY12" s="31"/>
      <c r="JZ12" s="31"/>
      <c r="KA12" s="31"/>
      <c r="KB12" s="31"/>
      <c r="KC12" s="31"/>
      <c r="KD12" s="31"/>
      <c r="KE12" s="31"/>
      <c r="KF12" s="31"/>
      <c r="KG12" s="31"/>
      <c r="KH12" s="31"/>
      <c r="KI12" s="31"/>
      <c r="KJ12" s="31"/>
      <c r="KK12" s="31"/>
      <c r="KL12" s="31"/>
      <c r="KM12" s="31"/>
      <c r="KN12" s="31"/>
      <c r="KO12" s="31"/>
      <c r="KP12" s="31"/>
      <c r="KQ12" s="31"/>
      <c r="KR12" s="31"/>
      <c r="KS12" s="31"/>
      <c r="KT12" s="31"/>
      <c r="KU12" s="31"/>
      <c r="KV12" s="31"/>
      <c r="KW12" s="31"/>
      <c r="KX12" s="31"/>
      <c r="KY12" s="31"/>
      <c r="KZ12" s="31"/>
      <c r="LA12" s="31"/>
      <c r="LB12" s="31"/>
      <c r="LC12" s="31"/>
      <c r="LD12" s="31"/>
      <c r="LE12" s="31"/>
      <c r="LF12" s="31"/>
      <c r="LG12" s="31"/>
      <c r="LH12" s="31"/>
      <c r="LI12" s="31"/>
      <c r="LJ12" s="31"/>
      <c r="LK12" s="31"/>
      <c r="LL12" s="31"/>
      <c r="LM12" s="31"/>
      <c r="LN12" s="31"/>
      <c r="LO12" s="31"/>
      <c r="LP12" s="31"/>
      <c r="LQ12" s="31"/>
      <c r="LR12" s="31"/>
      <c r="LS12" s="31"/>
      <c r="LT12" s="31"/>
      <c r="LU12" s="31"/>
      <c r="LV12" s="31"/>
      <c r="LW12" s="31"/>
      <c r="LX12" s="31"/>
      <c r="LY12" s="31"/>
      <c r="LZ12" s="31"/>
      <c r="MA12" s="31"/>
      <c r="MB12" s="31"/>
      <c r="MC12" s="31"/>
      <c r="MD12" s="31"/>
      <c r="ME12" s="31"/>
      <c r="MF12" s="31"/>
      <c r="MG12" s="31"/>
      <c r="MH12" s="31"/>
      <c r="MI12" s="31"/>
      <c r="MJ12" s="31"/>
      <c r="MK12" s="31"/>
      <c r="ML12" s="31"/>
      <c r="MM12" s="31"/>
      <c r="MN12" s="31"/>
      <c r="MO12" s="31"/>
      <c r="MP12" s="31"/>
      <c r="MQ12" s="31"/>
      <c r="MR12" s="31"/>
      <c r="MS12" s="31"/>
      <c r="MT12" s="31"/>
      <c r="MU12" s="31"/>
      <c r="MV12" s="31"/>
      <c r="MW12" s="31"/>
      <c r="MX12" s="31"/>
      <c r="MY12" s="31"/>
      <c r="MZ12" s="31"/>
      <c r="NA12" s="31"/>
      <c r="NB12" s="31"/>
      <c r="NC12" s="31"/>
      <c r="ND12" s="31"/>
      <c r="NE12" s="31"/>
      <c r="NF12" s="31"/>
      <c r="NG12" s="31"/>
      <c r="NH12" s="31"/>
      <c r="NI12" s="31"/>
      <c r="NJ12" s="31"/>
      <c r="NK12" s="31"/>
      <c r="NL12" s="31"/>
      <c r="NM12" s="31"/>
      <c r="NN12" s="31"/>
      <c r="NO12" s="31"/>
      <c r="NP12" s="31"/>
      <c r="NQ12" s="31"/>
      <c r="NR12" s="31"/>
      <c r="NS12" s="31"/>
      <c r="NT12" s="31"/>
      <c r="NU12" s="31"/>
      <c r="NV12" s="31"/>
      <c r="NW12" s="31"/>
      <c r="NX12" s="31"/>
      <c r="NY12" s="31"/>
      <c r="NZ12" s="31"/>
      <c r="OA12" s="31"/>
      <c r="OB12" s="31"/>
      <c r="OC12" s="31"/>
      <c r="OD12" s="31"/>
      <c r="OE12" s="31"/>
      <c r="OF12" s="31"/>
      <c r="OG12" s="31"/>
      <c r="OH12" s="31"/>
      <c r="OI12" s="31"/>
      <c r="OJ12" s="31"/>
      <c r="OK12" s="31"/>
      <c r="OL12" s="31"/>
      <c r="OM12" s="31"/>
      <c r="ON12" s="31"/>
      <c r="OO12" s="31"/>
      <c r="OP12" s="31"/>
      <c r="OQ12" s="31"/>
      <c r="OR12" s="31"/>
      <c r="OS12" s="31"/>
      <c r="OT12" s="31"/>
      <c r="OU12" s="31"/>
      <c r="OV12" s="31"/>
      <c r="OW12" s="31"/>
      <c r="OX12" s="31"/>
      <c r="OY12" s="31"/>
      <c r="OZ12" s="31"/>
      <c r="PA12" s="31"/>
      <c r="PB12" s="31"/>
      <c r="PC12" s="31"/>
      <c r="PD12" s="31"/>
      <c r="PE12" s="31"/>
      <c r="PF12" s="31"/>
      <c r="PG12" s="31"/>
      <c r="PH12" s="31"/>
      <c r="PI12" s="31"/>
      <c r="PJ12" s="31"/>
      <c r="PK12" s="31"/>
      <c r="PL12" s="31"/>
      <c r="PM12" s="31"/>
      <c r="PN12" s="31"/>
      <c r="PO12" s="31"/>
      <c r="PP12" s="31"/>
      <c r="PQ12" s="31"/>
      <c r="PR12" s="31"/>
      <c r="PS12" s="31"/>
      <c r="PT12" s="31"/>
      <c r="PU12" s="31"/>
      <c r="PV12" s="31"/>
      <c r="PW12" s="31"/>
      <c r="PX12" s="31"/>
      <c r="PY12" s="31"/>
      <c r="PZ12" s="31"/>
      <c r="QA12" s="31"/>
      <c r="QB12" s="31"/>
      <c r="QC12" s="31"/>
      <c r="QD12" s="31"/>
      <c r="QE12" s="31"/>
      <c r="QF12" s="31"/>
      <c r="QG12" s="31"/>
      <c r="QH12" s="31"/>
      <c r="QI12" s="31"/>
      <c r="QJ12" s="31"/>
      <c r="QK12" s="31"/>
      <c r="QL12" s="31"/>
      <c r="QM12" s="31"/>
      <c r="QN12" s="31"/>
      <c r="QO12" s="31"/>
      <c r="QP12" s="31"/>
      <c r="QQ12" s="31"/>
      <c r="QR12" s="31"/>
      <c r="QS12" s="31"/>
      <c r="QT12" s="31"/>
      <c r="QU12" s="31"/>
      <c r="QV12" s="31"/>
      <c r="QW12" s="31"/>
      <c r="QX12" s="31"/>
      <c r="QY12" s="31"/>
      <c r="QZ12" s="31"/>
      <c r="RA12" s="31"/>
      <c r="RB12" s="31"/>
      <c r="RC12" s="31"/>
      <c r="RD12" s="31"/>
      <c r="RE12" s="31"/>
      <c r="RF12" s="31"/>
      <c r="RG12" s="31"/>
      <c r="RH12" s="31"/>
      <c r="RI12" s="31"/>
      <c r="RJ12" s="31"/>
      <c r="RK12" s="31"/>
      <c r="RL12" s="31"/>
      <c r="RM12" s="31"/>
      <c r="RN12" s="31"/>
      <c r="RO12" s="31"/>
      <c r="RP12" s="31"/>
      <c r="RQ12" s="31"/>
      <c r="RR12" s="31"/>
      <c r="RS12" s="31"/>
      <c r="RT12" s="31"/>
      <c r="RU12" s="31"/>
      <c r="RV12" s="31"/>
      <c r="RW12" s="31"/>
      <c r="RX12" s="31"/>
      <c r="RY12" s="31"/>
      <c r="RZ12" s="31"/>
      <c r="SA12" s="31"/>
      <c r="SB12" s="31"/>
      <c r="SC12" s="31"/>
      <c r="SD12" s="31"/>
      <c r="SE12" s="31"/>
      <c r="SF12" s="31"/>
      <c r="SG12" s="31"/>
      <c r="SH12" s="31"/>
      <c r="SI12" s="31"/>
      <c r="SJ12" s="82"/>
      <c r="SK12" s="6"/>
    </row>
    <row r="13" ht="14.25" customHeight="1">
      <c r="A13" s="68"/>
      <c r="B13" s="70" t="s">
        <v>8</v>
      </c>
      <c r="C13" s="85"/>
      <c r="D13" s="86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8"/>
      <c r="FO13" s="38"/>
      <c r="FP13" s="38"/>
      <c r="FQ13" s="38"/>
      <c r="FR13" s="38"/>
      <c r="FS13" s="38"/>
      <c r="FT13" s="38"/>
      <c r="FU13" s="38"/>
      <c r="FV13" s="38"/>
      <c r="FW13" s="38"/>
      <c r="FX13" s="38"/>
      <c r="FY13" s="38"/>
      <c r="FZ13" s="38"/>
      <c r="GA13" s="38"/>
      <c r="GB13" s="38"/>
      <c r="GC13" s="38"/>
      <c r="GD13" s="38"/>
      <c r="GE13" s="38"/>
      <c r="GF13" s="38"/>
      <c r="GG13" s="38"/>
      <c r="GH13" s="38"/>
      <c r="GI13" s="38"/>
      <c r="GJ13" s="38"/>
      <c r="GK13" s="38"/>
      <c r="GL13" s="38"/>
      <c r="GM13" s="38"/>
      <c r="GN13" s="38"/>
      <c r="GO13" s="38"/>
      <c r="GP13" s="38"/>
      <c r="GQ13" s="38"/>
      <c r="GR13" s="38"/>
      <c r="GS13" s="38"/>
      <c r="GT13" s="38"/>
      <c r="GU13" s="38"/>
      <c r="GV13" s="38"/>
      <c r="GW13" s="38"/>
      <c r="GX13" s="38"/>
      <c r="GY13" s="38"/>
      <c r="GZ13" s="38"/>
      <c r="HA13" s="38"/>
      <c r="HB13" s="38"/>
      <c r="HC13" s="38"/>
      <c r="HD13" s="38"/>
      <c r="HE13" s="38"/>
      <c r="HF13" s="38"/>
      <c r="HG13" s="38"/>
      <c r="HH13" s="38"/>
      <c r="HI13" s="38"/>
      <c r="HJ13" s="38"/>
      <c r="HK13" s="38"/>
      <c r="HL13" s="38"/>
      <c r="HM13" s="38"/>
      <c r="HN13" s="38"/>
      <c r="HO13" s="38"/>
      <c r="HP13" s="38"/>
      <c r="HQ13" s="38"/>
      <c r="HR13" s="38"/>
      <c r="HS13" s="38"/>
      <c r="HT13" s="38"/>
      <c r="HU13" s="38"/>
      <c r="HV13" s="38"/>
      <c r="HW13" s="38"/>
      <c r="HX13" s="38"/>
      <c r="HY13" s="38"/>
      <c r="HZ13" s="38"/>
      <c r="IA13" s="38"/>
      <c r="IB13" s="38"/>
      <c r="IC13" s="38"/>
      <c r="ID13" s="38"/>
      <c r="IE13" s="38"/>
      <c r="IF13" s="38"/>
      <c r="IG13" s="38"/>
      <c r="IH13" s="38"/>
      <c r="II13" s="38"/>
      <c r="IJ13" s="38"/>
      <c r="IK13" s="38"/>
      <c r="IL13" s="38"/>
      <c r="IM13" s="38"/>
      <c r="IN13" s="38"/>
      <c r="IO13" s="38"/>
      <c r="IP13" s="38"/>
      <c r="IQ13" s="38"/>
      <c r="IR13" s="38"/>
      <c r="IS13" s="38"/>
      <c r="IT13" s="38"/>
      <c r="IU13" s="38"/>
      <c r="IV13" s="38"/>
      <c r="IW13" s="38"/>
      <c r="IX13" s="38"/>
      <c r="IY13" s="38"/>
      <c r="IZ13" s="38"/>
      <c r="JA13" s="38"/>
      <c r="JB13" s="38"/>
      <c r="JC13" s="38"/>
      <c r="JD13" s="38"/>
      <c r="JE13" s="38"/>
      <c r="JF13" s="38"/>
      <c r="JG13" s="38"/>
      <c r="JH13" s="38"/>
      <c r="JI13" s="38"/>
      <c r="JJ13" s="38"/>
      <c r="JK13" s="38"/>
      <c r="JL13" s="38"/>
      <c r="JM13" s="38"/>
      <c r="JN13" s="38"/>
      <c r="JO13" s="38"/>
      <c r="JP13" s="38"/>
      <c r="JQ13" s="38"/>
      <c r="JR13" s="38"/>
      <c r="JS13" s="38"/>
      <c r="JT13" s="38"/>
      <c r="JU13" s="38"/>
      <c r="JV13" s="38"/>
      <c r="JW13" s="38"/>
      <c r="JX13" s="38"/>
      <c r="JY13" s="38"/>
      <c r="JZ13" s="38"/>
      <c r="KA13" s="38"/>
      <c r="KB13" s="38"/>
      <c r="KC13" s="38"/>
      <c r="KD13" s="38"/>
      <c r="KE13" s="38"/>
      <c r="KF13" s="38"/>
      <c r="KG13" s="38"/>
      <c r="KH13" s="38"/>
      <c r="KI13" s="38"/>
      <c r="KJ13" s="38"/>
      <c r="KK13" s="38"/>
      <c r="KL13" s="38"/>
      <c r="KM13" s="38"/>
      <c r="KN13" s="38"/>
      <c r="KO13" s="38"/>
      <c r="KP13" s="38"/>
      <c r="KQ13" s="38"/>
      <c r="KR13" s="38"/>
      <c r="KS13" s="38"/>
      <c r="KT13" s="38"/>
      <c r="KU13" s="38"/>
      <c r="KV13" s="38"/>
      <c r="KW13" s="38"/>
      <c r="KX13" s="38"/>
      <c r="KY13" s="38"/>
      <c r="KZ13" s="38"/>
      <c r="LA13" s="38"/>
      <c r="LB13" s="38"/>
      <c r="LC13" s="38"/>
      <c r="LD13" s="38"/>
      <c r="LE13" s="38"/>
      <c r="LF13" s="38"/>
      <c r="LG13" s="38"/>
      <c r="LH13" s="38"/>
      <c r="LI13" s="38"/>
      <c r="LJ13" s="38"/>
      <c r="LK13" s="38"/>
      <c r="LL13" s="38"/>
      <c r="LM13" s="38"/>
      <c r="LN13" s="38"/>
      <c r="LO13" s="38"/>
      <c r="LP13" s="38"/>
      <c r="LQ13" s="38"/>
      <c r="LR13" s="38"/>
      <c r="LS13" s="38"/>
      <c r="LT13" s="38"/>
      <c r="LU13" s="38"/>
      <c r="LV13" s="38"/>
      <c r="LW13" s="38"/>
      <c r="LX13" s="38"/>
      <c r="LY13" s="38"/>
      <c r="LZ13" s="38"/>
      <c r="MA13" s="38"/>
      <c r="MB13" s="38"/>
      <c r="MC13" s="38"/>
      <c r="MD13" s="38"/>
      <c r="ME13" s="38"/>
      <c r="MF13" s="38"/>
      <c r="MG13" s="38"/>
      <c r="MH13" s="38"/>
      <c r="MI13" s="38"/>
      <c r="MJ13" s="38"/>
      <c r="MK13" s="38"/>
      <c r="ML13" s="38"/>
      <c r="MM13" s="38"/>
      <c r="MN13" s="38"/>
      <c r="MO13" s="38"/>
      <c r="MP13" s="38"/>
      <c r="MQ13" s="38"/>
      <c r="MR13" s="38"/>
      <c r="MS13" s="38"/>
      <c r="MT13" s="38"/>
      <c r="MU13" s="38"/>
      <c r="MV13" s="38"/>
      <c r="MW13" s="38"/>
      <c r="MX13" s="38"/>
      <c r="MY13" s="38"/>
      <c r="MZ13" s="38"/>
      <c r="NA13" s="38"/>
      <c r="NB13" s="38"/>
      <c r="NC13" s="38"/>
      <c r="ND13" s="38"/>
      <c r="NE13" s="38"/>
      <c r="NF13" s="38"/>
      <c r="NG13" s="38"/>
      <c r="NH13" s="38"/>
      <c r="NI13" s="38"/>
      <c r="NJ13" s="38"/>
      <c r="NK13" s="38"/>
      <c r="NL13" s="38"/>
      <c r="NM13" s="38"/>
      <c r="NN13" s="38"/>
      <c r="NO13" s="38"/>
      <c r="NP13" s="38"/>
      <c r="NQ13" s="38"/>
      <c r="NR13" s="38"/>
      <c r="NS13" s="38"/>
      <c r="NT13" s="38"/>
      <c r="NU13" s="38"/>
      <c r="NV13" s="38"/>
      <c r="NW13" s="38"/>
      <c r="NX13" s="38"/>
      <c r="NY13" s="38"/>
      <c r="NZ13" s="38"/>
      <c r="OA13" s="38"/>
      <c r="OB13" s="38"/>
      <c r="OC13" s="38"/>
      <c r="OD13" s="38"/>
      <c r="OE13" s="38"/>
      <c r="OF13" s="38"/>
      <c r="OG13" s="38"/>
      <c r="OH13" s="38"/>
      <c r="OI13" s="38"/>
      <c r="OJ13" s="38"/>
      <c r="OK13" s="38"/>
      <c r="OL13" s="38"/>
      <c r="OM13" s="38"/>
      <c r="ON13" s="38"/>
      <c r="OO13" s="38"/>
      <c r="OP13" s="38"/>
      <c r="OQ13" s="38"/>
      <c r="OR13" s="38"/>
      <c r="OS13" s="38"/>
      <c r="OT13" s="38"/>
      <c r="OU13" s="38"/>
      <c r="OV13" s="38"/>
      <c r="OW13" s="38"/>
      <c r="OX13" s="38"/>
      <c r="OY13" s="38"/>
      <c r="OZ13" s="38"/>
      <c r="PA13" s="38"/>
      <c r="PB13" s="38"/>
      <c r="PC13" s="38"/>
      <c r="PD13" s="38"/>
      <c r="PE13" s="38"/>
      <c r="PF13" s="38"/>
      <c r="PG13" s="38"/>
      <c r="PH13" s="38"/>
      <c r="PI13" s="38"/>
      <c r="PJ13" s="38"/>
      <c r="PK13" s="38"/>
      <c r="PL13" s="38"/>
      <c r="PM13" s="38"/>
      <c r="PN13" s="38"/>
      <c r="PO13" s="38"/>
      <c r="PP13" s="38"/>
      <c r="PQ13" s="38"/>
      <c r="PR13" s="38"/>
      <c r="PS13" s="38"/>
      <c r="PT13" s="38"/>
      <c r="PU13" s="38"/>
      <c r="PV13" s="38"/>
      <c r="PW13" s="38"/>
      <c r="PX13" s="38"/>
      <c r="PY13" s="38"/>
      <c r="PZ13" s="38"/>
      <c r="QA13" s="38"/>
      <c r="QB13" s="38"/>
      <c r="QC13" s="38"/>
      <c r="QD13" s="38"/>
      <c r="QE13" s="38"/>
      <c r="QF13" s="38"/>
      <c r="QG13" s="38"/>
      <c r="QH13" s="38"/>
      <c r="QI13" s="38"/>
      <c r="QJ13" s="38"/>
      <c r="QK13" s="38"/>
      <c r="QL13" s="38"/>
      <c r="QM13" s="38"/>
      <c r="QN13" s="38"/>
      <c r="QO13" s="38"/>
      <c r="QP13" s="38"/>
      <c r="QQ13" s="38"/>
      <c r="QR13" s="38"/>
      <c r="QS13" s="38"/>
      <c r="QT13" s="38"/>
      <c r="QU13" s="38"/>
      <c r="QV13" s="38"/>
      <c r="QW13" s="38"/>
      <c r="QX13" s="38"/>
      <c r="QY13" s="38"/>
      <c r="QZ13" s="38"/>
      <c r="RA13" s="38"/>
      <c r="RB13" s="38"/>
      <c r="RC13" s="38"/>
      <c r="RD13" s="38"/>
      <c r="RE13" s="38"/>
      <c r="RF13" s="38"/>
      <c r="RG13" s="38"/>
      <c r="RH13" s="38"/>
      <c r="RI13" s="38"/>
      <c r="RJ13" s="38"/>
      <c r="RK13" s="38"/>
      <c r="RL13" s="38"/>
      <c r="RM13" s="38"/>
      <c r="RN13" s="38"/>
      <c r="RO13" s="38"/>
      <c r="RP13" s="38"/>
      <c r="RQ13" s="38"/>
      <c r="RR13" s="38"/>
      <c r="RS13" s="38"/>
      <c r="RT13" s="38"/>
      <c r="RU13" s="38"/>
      <c r="RV13" s="38"/>
      <c r="RW13" s="38"/>
      <c r="RX13" s="38"/>
      <c r="RY13" s="38"/>
      <c r="RZ13" s="38"/>
      <c r="SA13" s="38"/>
      <c r="SB13" s="38"/>
      <c r="SC13" s="38"/>
      <c r="SD13" s="38"/>
      <c r="SE13" s="38"/>
      <c r="SF13" s="38"/>
      <c r="SG13" s="38"/>
      <c r="SH13" s="38"/>
      <c r="SI13" s="38"/>
      <c r="SJ13" s="38"/>
      <c r="SK13" s="6"/>
    </row>
    <row r="14" ht="14.25" customHeight="1">
      <c r="A14" s="72" t="s">
        <v>575</v>
      </c>
      <c r="B14" s="37" t="s">
        <v>576</v>
      </c>
      <c r="C14" s="73"/>
      <c r="D14" s="74">
        <f t="shared" ref="D14:D17" si="2">C14+SUM(E14:SJ14)</f>
        <v>83181.49</v>
      </c>
      <c r="E14" s="87">
        <v>83181.49</v>
      </c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8"/>
      <c r="HO14" s="38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8"/>
      <c r="IP14" s="38"/>
      <c r="IQ14" s="38"/>
      <c r="IR14" s="38"/>
      <c r="IS14" s="38"/>
      <c r="IT14" s="38"/>
      <c r="IU14" s="38"/>
      <c r="IV14" s="38"/>
      <c r="IW14" s="38"/>
      <c r="IX14" s="38"/>
      <c r="IY14" s="38"/>
      <c r="IZ14" s="38"/>
      <c r="JA14" s="38"/>
      <c r="JB14" s="38"/>
      <c r="JC14" s="38"/>
      <c r="JD14" s="38"/>
      <c r="JE14" s="38"/>
      <c r="JF14" s="38"/>
      <c r="JG14" s="38"/>
      <c r="JH14" s="38"/>
      <c r="JI14" s="38"/>
      <c r="JJ14" s="38"/>
      <c r="JK14" s="38"/>
      <c r="JL14" s="38"/>
      <c r="JM14" s="38"/>
      <c r="JN14" s="38"/>
      <c r="JO14" s="38"/>
      <c r="JP14" s="38"/>
      <c r="JQ14" s="38"/>
      <c r="JR14" s="38"/>
      <c r="JS14" s="38"/>
      <c r="JT14" s="38"/>
      <c r="JU14" s="38"/>
      <c r="JV14" s="38"/>
      <c r="JW14" s="38"/>
      <c r="JX14" s="38"/>
      <c r="JY14" s="38"/>
      <c r="JZ14" s="38"/>
      <c r="KA14" s="38"/>
      <c r="KB14" s="38"/>
      <c r="KC14" s="38"/>
      <c r="KD14" s="38"/>
      <c r="KE14" s="38"/>
      <c r="KF14" s="38"/>
      <c r="KG14" s="38"/>
      <c r="KH14" s="38"/>
      <c r="KI14" s="38"/>
      <c r="KJ14" s="38"/>
      <c r="KK14" s="38"/>
      <c r="KL14" s="38"/>
      <c r="KM14" s="38"/>
      <c r="KN14" s="38"/>
      <c r="KO14" s="38"/>
      <c r="KP14" s="38"/>
      <c r="KQ14" s="38"/>
      <c r="KR14" s="38"/>
      <c r="KS14" s="38"/>
      <c r="KT14" s="38"/>
      <c r="KU14" s="38"/>
      <c r="KV14" s="38"/>
      <c r="KW14" s="38"/>
      <c r="KX14" s="38"/>
      <c r="KY14" s="38"/>
      <c r="KZ14" s="38"/>
      <c r="LA14" s="38"/>
      <c r="LB14" s="38"/>
      <c r="LC14" s="38"/>
      <c r="LD14" s="38"/>
      <c r="LE14" s="38"/>
      <c r="LF14" s="38"/>
      <c r="LG14" s="38"/>
      <c r="LH14" s="38"/>
      <c r="LI14" s="38"/>
      <c r="LJ14" s="38"/>
      <c r="LK14" s="38"/>
      <c r="LL14" s="38"/>
      <c r="LM14" s="38"/>
      <c r="LN14" s="38"/>
      <c r="LO14" s="38"/>
      <c r="LP14" s="38"/>
      <c r="LQ14" s="38"/>
      <c r="LR14" s="38"/>
      <c r="LS14" s="38"/>
      <c r="LT14" s="38"/>
      <c r="LU14" s="38"/>
      <c r="LV14" s="38"/>
      <c r="LW14" s="38"/>
      <c r="LX14" s="38"/>
      <c r="LY14" s="38"/>
      <c r="LZ14" s="38"/>
      <c r="MA14" s="38"/>
      <c r="MB14" s="38"/>
      <c r="MC14" s="38"/>
      <c r="MD14" s="38"/>
      <c r="ME14" s="38"/>
      <c r="MF14" s="38"/>
      <c r="MG14" s="38"/>
      <c r="MH14" s="38"/>
      <c r="MI14" s="38"/>
      <c r="MJ14" s="38"/>
      <c r="MK14" s="38"/>
      <c r="ML14" s="38"/>
      <c r="MM14" s="38"/>
      <c r="MN14" s="38"/>
      <c r="MO14" s="38"/>
      <c r="MP14" s="38"/>
      <c r="MQ14" s="38"/>
      <c r="MR14" s="38"/>
      <c r="MS14" s="38"/>
      <c r="MT14" s="38"/>
      <c r="MU14" s="38"/>
      <c r="MV14" s="38"/>
      <c r="MW14" s="38"/>
      <c r="MX14" s="38"/>
      <c r="MY14" s="38"/>
      <c r="MZ14" s="38"/>
      <c r="NA14" s="38"/>
      <c r="NB14" s="38"/>
      <c r="NC14" s="38"/>
      <c r="ND14" s="38"/>
      <c r="NE14" s="38"/>
      <c r="NF14" s="38"/>
      <c r="NG14" s="38"/>
      <c r="NH14" s="38"/>
      <c r="NI14" s="38"/>
      <c r="NJ14" s="38"/>
      <c r="NK14" s="38"/>
      <c r="NL14" s="38"/>
      <c r="NM14" s="38"/>
      <c r="NN14" s="38"/>
      <c r="NO14" s="38"/>
      <c r="NP14" s="38"/>
      <c r="NQ14" s="38"/>
      <c r="NR14" s="38"/>
      <c r="NS14" s="38"/>
      <c r="NT14" s="38"/>
      <c r="NU14" s="38"/>
      <c r="NV14" s="38"/>
      <c r="NW14" s="38"/>
      <c r="NX14" s="38"/>
      <c r="NY14" s="38"/>
      <c r="NZ14" s="38"/>
      <c r="OA14" s="38"/>
      <c r="OB14" s="38"/>
      <c r="OC14" s="38"/>
      <c r="OD14" s="38"/>
      <c r="OE14" s="38"/>
      <c r="OF14" s="38"/>
      <c r="OG14" s="38"/>
      <c r="OH14" s="38"/>
      <c r="OI14" s="38"/>
      <c r="OJ14" s="38"/>
      <c r="OK14" s="38"/>
      <c r="OL14" s="38"/>
      <c r="OM14" s="38"/>
      <c r="ON14" s="38"/>
      <c r="OO14" s="38"/>
      <c r="OP14" s="38"/>
      <c r="OQ14" s="38"/>
      <c r="OR14" s="38"/>
      <c r="OS14" s="38"/>
      <c r="OT14" s="38"/>
      <c r="OU14" s="38"/>
      <c r="OV14" s="38"/>
      <c r="OW14" s="38"/>
      <c r="OX14" s="38"/>
      <c r="OY14" s="38"/>
      <c r="OZ14" s="38"/>
      <c r="PA14" s="38"/>
      <c r="PB14" s="38"/>
      <c r="PC14" s="38"/>
      <c r="PD14" s="38"/>
      <c r="PE14" s="38"/>
      <c r="PF14" s="38"/>
      <c r="PG14" s="38"/>
      <c r="PH14" s="38"/>
      <c r="PI14" s="38"/>
      <c r="PJ14" s="38"/>
      <c r="PK14" s="38"/>
      <c r="PL14" s="38"/>
      <c r="PM14" s="38"/>
      <c r="PN14" s="38"/>
      <c r="PO14" s="38"/>
      <c r="PP14" s="38"/>
      <c r="PQ14" s="38"/>
      <c r="PR14" s="38"/>
      <c r="PS14" s="38"/>
      <c r="PT14" s="38"/>
      <c r="PU14" s="38"/>
      <c r="PV14" s="38"/>
      <c r="PW14" s="38"/>
      <c r="PX14" s="38"/>
      <c r="PY14" s="38"/>
      <c r="PZ14" s="38"/>
      <c r="QA14" s="38"/>
      <c r="QB14" s="38"/>
      <c r="QC14" s="38"/>
      <c r="QD14" s="38"/>
      <c r="QE14" s="38"/>
      <c r="QF14" s="38"/>
      <c r="QG14" s="38"/>
      <c r="QH14" s="38"/>
      <c r="QI14" s="38"/>
      <c r="QJ14" s="38"/>
      <c r="QK14" s="38"/>
      <c r="QL14" s="38"/>
      <c r="QM14" s="38"/>
      <c r="QN14" s="38"/>
      <c r="QO14" s="38"/>
      <c r="QP14" s="38"/>
      <c r="QQ14" s="38"/>
      <c r="QR14" s="38"/>
      <c r="QS14" s="38"/>
      <c r="QT14" s="38"/>
      <c r="QU14" s="38"/>
      <c r="QV14" s="38"/>
      <c r="QW14" s="38"/>
      <c r="QX14" s="38"/>
      <c r="QY14" s="38"/>
      <c r="QZ14" s="38"/>
      <c r="RA14" s="38"/>
      <c r="RB14" s="38"/>
      <c r="RC14" s="38"/>
      <c r="RD14" s="38"/>
      <c r="RE14" s="38"/>
      <c r="RF14" s="38"/>
      <c r="RG14" s="38"/>
      <c r="RH14" s="38"/>
      <c r="RI14" s="38"/>
      <c r="RJ14" s="38"/>
      <c r="RK14" s="38"/>
      <c r="RL14" s="38"/>
      <c r="RM14" s="38"/>
      <c r="RN14" s="38"/>
      <c r="RO14" s="38"/>
      <c r="RP14" s="38"/>
      <c r="RQ14" s="38"/>
      <c r="RR14" s="38"/>
      <c r="RS14" s="38"/>
      <c r="RT14" s="38"/>
      <c r="RU14" s="38"/>
      <c r="RV14" s="38"/>
      <c r="RW14" s="38"/>
      <c r="RX14" s="38"/>
      <c r="RY14" s="38"/>
      <c r="RZ14" s="38"/>
      <c r="SA14" s="38"/>
      <c r="SB14" s="38"/>
      <c r="SC14" s="38"/>
      <c r="SD14" s="38"/>
      <c r="SE14" s="38"/>
      <c r="SF14" s="38"/>
      <c r="SG14" s="38"/>
      <c r="SH14" s="38"/>
      <c r="SI14" s="38"/>
      <c r="SJ14" s="75"/>
      <c r="SK14" s="6"/>
    </row>
    <row r="15" ht="14.25" customHeight="1">
      <c r="A15" s="80" t="s">
        <v>575</v>
      </c>
      <c r="B15" s="30" t="s">
        <v>577</v>
      </c>
      <c r="C15" s="81"/>
      <c r="D15" s="74">
        <f t="shared" si="2"/>
        <v>0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C15" s="31"/>
      <c r="FD15" s="31"/>
      <c r="FE15" s="31"/>
      <c r="FF15" s="31"/>
      <c r="FG15" s="31"/>
      <c r="FH15" s="31"/>
      <c r="FI15" s="31"/>
      <c r="FJ15" s="31"/>
      <c r="FK15" s="31"/>
      <c r="FL15" s="31"/>
      <c r="FM15" s="31"/>
      <c r="FN15" s="31"/>
      <c r="FO15" s="31"/>
      <c r="FP15" s="31"/>
      <c r="FQ15" s="31"/>
      <c r="FR15" s="31"/>
      <c r="FS15" s="31"/>
      <c r="FT15" s="31"/>
      <c r="FU15" s="31"/>
      <c r="FV15" s="31"/>
      <c r="FW15" s="31"/>
      <c r="FX15" s="31"/>
      <c r="FY15" s="31"/>
      <c r="FZ15" s="31"/>
      <c r="GA15" s="31"/>
      <c r="GB15" s="31"/>
      <c r="GC15" s="31"/>
      <c r="GD15" s="31"/>
      <c r="GE15" s="31"/>
      <c r="GF15" s="31"/>
      <c r="GG15" s="31"/>
      <c r="GH15" s="31"/>
      <c r="GI15" s="31"/>
      <c r="GJ15" s="31"/>
      <c r="GK15" s="31"/>
      <c r="GL15" s="31"/>
      <c r="GM15" s="31"/>
      <c r="GN15" s="31"/>
      <c r="GO15" s="31"/>
      <c r="GP15" s="31"/>
      <c r="GQ15" s="31"/>
      <c r="GR15" s="31"/>
      <c r="GS15" s="31"/>
      <c r="GT15" s="31"/>
      <c r="GU15" s="31"/>
      <c r="GV15" s="31"/>
      <c r="GW15" s="31"/>
      <c r="GX15" s="31"/>
      <c r="GY15" s="31"/>
      <c r="GZ15" s="31"/>
      <c r="HA15" s="31"/>
      <c r="HB15" s="31"/>
      <c r="HC15" s="31"/>
      <c r="HD15" s="31"/>
      <c r="HE15" s="31"/>
      <c r="HF15" s="31"/>
      <c r="HG15" s="31"/>
      <c r="HH15" s="31"/>
      <c r="HI15" s="31"/>
      <c r="HJ15" s="31"/>
      <c r="HK15" s="31"/>
      <c r="HL15" s="31"/>
      <c r="HM15" s="31"/>
      <c r="HN15" s="31"/>
      <c r="HO15" s="31"/>
      <c r="HP15" s="31"/>
      <c r="HQ15" s="31"/>
      <c r="HR15" s="31"/>
      <c r="HS15" s="31"/>
      <c r="HT15" s="31"/>
      <c r="HU15" s="31"/>
      <c r="HV15" s="31"/>
      <c r="HW15" s="31"/>
      <c r="HX15" s="31"/>
      <c r="HY15" s="31"/>
      <c r="HZ15" s="31"/>
      <c r="IA15" s="31"/>
      <c r="IB15" s="31"/>
      <c r="IC15" s="31"/>
      <c r="ID15" s="31"/>
      <c r="IE15" s="31"/>
      <c r="IF15" s="31"/>
      <c r="IG15" s="31"/>
      <c r="IH15" s="31"/>
      <c r="II15" s="31"/>
      <c r="IJ15" s="31"/>
      <c r="IK15" s="31"/>
      <c r="IL15" s="31"/>
      <c r="IM15" s="31"/>
      <c r="IN15" s="31"/>
      <c r="IO15" s="31"/>
      <c r="IP15" s="31"/>
      <c r="IQ15" s="31"/>
      <c r="IR15" s="31"/>
      <c r="IS15" s="31"/>
      <c r="IT15" s="31"/>
      <c r="IU15" s="31"/>
      <c r="IV15" s="31"/>
      <c r="IW15" s="31"/>
      <c r="IX15" s="31"/>
      <c r="IY15" s="31"/>
      <c r="IZ15" s="31"/>
      <c r="JA15" s="31"/>
      <c r="JB15" s="31"/>
      <c r="JC15" s="31"/>
      <c r="JD15" s="31"/>
      <c r="JE15" s="31"/>
      <c r="JF15" s="31"/>
      <c r="JG15" s="31"/>
      <c r="JH15" s="31"/>
      <c r="JI15" s="31"/>
      <c r="JJ15" s="31"/>
      <c r="JK15" s="31"/>
      <c r="JL15" s="31"/>
      <c r="JM15" s="31"/>
      <c r="JN15" s="31"/>
      <c r="JO15" s="31"/>
      <c r="JP15" s="31"/>
      <c r="JQ15" s="31"/>
      <c r="JR15" s="31"/>
      <c r="JS15" s="31"/>
      <c r="JT15" s="31"/>
      <c r="JU15" s="31"/>
      <c r="JV15" s="31"/>
      <c r="JW15" s="31"/>
      <c r="JX15" s="31"/>
      <c r="JY15" s="31"/>
      <c r="JZ15" s="31"/>
      <c r="KA15" s="31"/>
      <c r="KB15" s="31"/>
      <c r="KC15" s="31"/>
      <c r="KD15" s="31"/>
      <c r="KE15" s="31"/>
      <c r="KF15" s="31"/>
      <c r="KG15" s="31"/>
      <c r="KH15" s="31"/>
      <c r="KI15" s="31"/>
      <c r="KJ15" s="31"/>
      <c r="KK15" s="31"/>
      <c r="KL15" s="31"/>
      <c r="KM15" s="31"/>
      <c r="KN15" s="31"/>
      <c r="KO15" s="31"/>
      <c r="KP15" s="31"/>
      <c r="KQ15" s="31"/>
      <c r="KR15" s="31"/>
      <c r="KS15" s="31"/>
      <c r="KT15" s="31"/>
      <c r="KU15" s="31"/>
      <c r="KV15" s="31"/>
      <c r="KW15" s="31"/>
      <c r="KX15" s="31"/>
      <c r="KY15" s="31"/>
      <c r="KZ15" s="31"/>
      <c r="LA15" s="31"/>
      <c r="LB15" s="31"/>
      <c r="LC15" s="31"/>
      <c r="LD15" s="31"/>
      <c r="LE15" s="31"/>
      <c r="LF15" s="31"/>
      <c r="LG15" s="31"/>
      <c r="LH15" s="31"/>
      <c r="LI15" s="31"/>
      <c r="LJ15" s="31"/>
      <c r="LK15" s="31"/>
      <c r="LL15" s="31"/>
      <c r="LM15" s="31"/>
      <c r="LN15" s="31"/>
      <c r="LO15" s="31"/>
      <c r="LP15" s="31"/>
      <c r="LQ15" s="31"/>
      <c r="LR15" s="31"/>
      <c r="LS15" s="31"/>
      <c r="LT15" s="31"/>
      <c r="LU15" s="31"/>
      <c r="LV15" s="31"/>
      <c r="LW15" s="31"/>
      <c r="LX15" s="31"/>
      <c r="LY15" s="31"/>
      <c r="LZ15" s="31"/>
      <c r="MA15" s="31"/>
      <c r="MB15" s="31"/>
      <c r="MC15" s="31"/>
      <c r="MD15" s="31"/>
      <c r="ME15" s="31"/>
      <c r="MF15" s="31"/>
      <c r="MG15" s="31"/>
      <c r="MH15" s="31"/>
      <c r="MI15" s="31"/>
      <c r="MJ15" s="31"/>
      <c r="MK15" s="31"/>
      <c r="ML15" s="31"/>
      <c r="MM15" s="31"/>
      <c r="MN15" s="31"/>
      <c r="MO15" s="31"/>
      <c r="MP15" s="31"/>
      <c r="MQ15" s="31"/>
      <c r="MR15" s="31"/>
      <c r="MS15" s="31"/>
      <c r="MT15" s="31"/>
      <c r="MU15" s="31"/>
      <c r="MV15" s="31"/>
      <c r="MW15" s="31"/>
      <c r="MX15" s="31"/>
      <c r="MY15" s="31"/>
      <c r="MZ15" s="31"/>
      <c r="NA15" s="31"/>
      <c r="NB15" s="31"/>
      <c r="NC15" s="31"/>
      <c r="ND15" s="31"/>
      <c r="NE15" s="31"/>
      <c r="NF15" s="31"/>
      <c r="NG15" s="31"/>
      <c r="NH15" s="31"/>
      <c r="NI15" s="31"/>
      <c r="NJ15" s="31"/>
      <c r="NK15" s="31"/>
      <c r="NL15" s="31"/>
      <c r="NM15" s="31"/>
      <c r="NN15" s="31"/>
      <c r="NO15" s="31"/>
      <c r="NP15" s="31"/>
      <c r="NQ15" s="31"/>
      <c r="NR15" s="31"/>
      <c r="NS15" s="31"/>
      <c r="NT15" s="31"/>
      <c r="NU15" s="31"/>
      <c r="NV15" s="31"/>
      <c r="NW15" s="31"/>
      <c r="NX15" s="31"/>
      <c r="NY15" s="31"/>
      <c r="NZ15" s="31"/>
      <c r="OA15" s="31"/>
      <c r="OB15" s="31"/>
      <c r="OC15" s="31"/>
      <c r="OD15" s="31"/>
      <c r="OE15" s="31"/>
      <c r="OF15" s="31"/>
      <c r="OG15" s="31"/>
      <c r="OH15" s="31"/>
      <c r="OI15" s="31"/>
      <c r="OJ15" s="31"/>
      <c r="OK15" s="31"/>
      <c r="OL15" s="31"/>
      <c r="OM15" s="31"/>
      <c r="ON15" s="31"/>
      <c r="OO15" s="31"/>
      <c r="OP15" s="31"/>
      <c r="OQ15" s="31"/>
      <c r="OR15" s="31"/>
      <c r="OS15" s="31"/>
      <c r="OT15" s="31"/>
      <c r="OU15" s="31"/>
      <c r="OV15" s="31"/>
      <c r="OW15" s="31"/>
      <c r="OX15" s="31"/>
      <c r="OY15" s="31"/>
      <c r="OZ15" s="31"/>
      <c r="PA15" s="31"/>
      <c r="PB15" s="31"/>
      <c r="PC15" s="31"/>
      <c r="PD15" s="31"/>
      <c r="PE15" s="31"/>
      <c r="PF15" s="31"/>
      <c r="PG15" s="31"/>
      <c r="PH15" s="31"/>
      <c r="PI15" s="31"/>
      <c r="PJ15" s="31"/>
      <c r="PK15" s="31"/>
      <c r="PL15" s="31"/>
      <c r="PM15" s="31"/>
      <c r="PN15" s="31"/>
      <c r="PO15" s="31"/>
      <c r="PP15" s="31"/>
      <c r="PQ15" s="31"/>
      <c r="PR15" s="31"/>
      <c r="PS15" s="31"/>
      <c r="PT15" s="31"/>
      <c r="PU15" s="31"/>
      <c r="PV15" s="31"/>
      <c r="PW15" s="31"/>
      <c r="PX15" s="31"/>
      <c r="PY15" s="31"/>
      <c r="PZ15" s="31"/>
      <c r="QA15" s="31"/>
      <c r="QB15" s="31"/>
      <c r="QC15" s="31"/>
      <c r="QD15" s="31"/>
      <c r="QE15" s="31"/>
      <c r="QF15" s="31"/>
      <c r="QG15" s="31"/>
      <c r="QH15" s="31"/>
      <c r="QI15" s="31"/>
      <c r="QJ15" s="31"/>
      <c r="QK15" s="31"/>
      <c r="QL15" s="31"/>
      <c r="QM15" s="31"/>
      <c r="QN15" s="31"/>
      <c r="QO15" s="31"/>
      <c r="QP15" s="31"/>
      <c r="QQ15" s="31"/>
      <c r="QR15" s="31"/>
      <c r="QS15" s="31"/>
      <c r="QT15" s="31"/>
      <c r="QU15" s="31"/>
      <c r="QV15" s="31"/>
      <c r="QW15" s="31"/>
      <c r="QX15" s="31"/>
      <c r="QY15" s="31"/>
      <c r="QZ15" s="31"/>
      <c r="RA15" s="31"/>
      <c r="RB15" s="31"/>
      <c r="RC15" s="31"/>
      <c r="RD15" s="31"/>
      <c r="RE15" s="31"/>
      <c r="RF15" s="31"/>
      <c r="RG15" s="31"/>
      <c r="RH15" s="31"/>
      <c r="RI15" s="31"/>
      <c r="RJ15" s="31"/>
      <c r="RK15" s="31"/>
      <c r="RL15" s="31"/>
      <c r="RM15" s="31"/>
      <c r="RN15" s="31"/>
      <c r="RO15" s="31"/>
      <c r="RP15" s="31"/>
      <c r="RQ15" s="31"/>
      <c r="RR15" s="31"/>
      <c r="RS15" s="31"/>
      <c r="RT15" s="31"/>
      <c r="RU15" s="31"/>
      <c r="RV15" s="31"/>
      <c r="RW15" s="31"/>
      <c r="RX15" s="31"/>
      <c r="RY15" s="31"/>
      <c r="RZ15" s="31"/>
      <c r="SA15" s="31"/>
      <c r="SB15" s="31"/>
      <c r="SC15" s="31"/>
      <c r="SD15" s="31"/>
      <c r="SE15" s="31"/>
      <c r="SF15" s="31"/>
      <c r="SG15" s="31"/>
      <c r="SH15" s="31"/>
      <c r="SI15" s="31"/>
      <c r="SJ15" s="82"/>
      <c r="SK15" s="6"/>
    </row>
    <row r="16" ht="14.25" customHeight="1">
      <c r="A16" s="88" t="s">
        <v>575</v>
      </c>
      <c r="B16" s="89" t="s">
        <v>578</v>
      </c>
      <c r="C16" s="90"/>
      <c r="D16" s="74">
        <f t="shared" si="2"/>
        <v>0</v>
      </c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91"/>
      <c r="BB16" s="91"/>
      <c r="BC16" s="91"/>
      <c r="BD16" s="91"/>
      <c r="BE16" s="91"/>
      <c r="BF16" s="91"/>
      <c r="BG16" s="91"/>
      <c r="BH16" s="91"/>
      <c r="BI16" s="91"/>
      <c r="BJ16" s="91"/>
      <c r="BK16" s="91"/>
      <c r="BL16" s="91"/>
      <c r="BM16" s="91"/>
      <c r="BN16" s="91"/>
      <c r="BO16" s="91"/>
      <c r="BP16" s="91"/>
      <c r="BQ16" s="91"/>
      <c r="BR16" s="91"/>
      <c r="BS16" s="91"/>
      <c r="BT16" s="91"/>
      <c r="BU16" s="91"/>
      <c r="BV16" s="91"/>
      <c r="BW16" s="91"/>
      <c r="BX16" s="91"/>
      <c r="BY16" s="91"/>
      <c r="BZ16" s="91"/>
      <c r="CA16" s="91"/>
      <c r="CB16" s="91"/>
      <c r="CC16" s="91"/>
      <c r="CD16" s="91"/>
      <c r="CE16" s="91"/>
      <c r="CF16" s="91"/>
      <c r="CG16" s="91"/>
      <c r="CH16" s="91"/>
      <c r="CI16" s="91"/>
      <c r="CJ16" s="91"/>
      <c r="CK16" s="91"/>
      <c r="CL16" s="91"/>
      <c r="CM16" s="91"/>
      <c r="CN16" s="91"/>
      <c r="CO16" s="91"/>
      <c r="CP16" s="91"/>
      <c r="CQ16" s="91"/>
      <c r="CR16" s="91"/>
      <c r="CS16" s="91"/>
      <c r="CT16" s="91"/>
      <c r="CU16" s="91"/>
      <c r="CV16" s="91"/>
      <c r="CW16" s="91"/>
      <c r="CX16" s="91"/>
      <c r="CY16" s="91"/>
      <c r="CZ16" s="91"/>
      <c r="DA16" s="91"/>
      <c r="DB16" s="91"/>
      <c r="DC16" s="91"/>
      <c r="DD16" s="91"/>
      <c r="DE16" s="91"/>
      <c r="DF16" s="91"/>
      <c r="DG16" s="91"/>
      <c r="DH16" s="91"/>
      <c r="DI16" s="91"/>
      <c r="DJ16" s="91"/>
      <c r="DK16" s="91"/>
      <c r="DL16" s="91"/>
      <c r="DM16" s="91"/>
      <c r="DN16" s="91"/>
      <c r="DO16" s="91"/>
      <c r="DP16" s="91"/>
      <c r="DQ16" s="91"/>
      <c r="DR16" s="91"/>
      <c r="DS16" s="91"/>
      <c r="DT16" s="91"/>
      <c r="DU16" s="91"/>
      <c r="DV16" s="91"/>
      <c r="DW16" s="91"/>
      <c r="DX16" s="91"/>
      <c r="DY16" s="91"/>
      <c r="DZ16" s="91"/>
      <c r="EA16" s="91"/>
      <c r="EB16" s="91"/>
      <c r="EC16" s="91"/>
      <c r="ED16" s="91"/>
      <c r="EE16" s="91"/>
      <c r="EF16" s="91"/>
      <c r="EG16" s="91"/>
      <c r="EH16" s="91"/>
      <c r="EI16" s="91"/>
      <c r="EJ16" s="91"/>
      <c r="EK16" s="91"/>
      <c r="EL16" s="91"/>
      <c r="EM16" s="91"/>
      <c r="EN16" s="91"/>
      <c r="EO16" s="91"/>
      <c r="EP16" s="91"/>
      <c r="EQ16" s="91"/>
      <c r="ER16" s="91"/>
      <c r="ES16" s="91"/>
      <c r="ET16" s="91"/>
      <c r="EU16" s="91"/>
      <c r="EV16" s="91"/>
      <c r="EW16" s="91"/>
      <c r="EX16" s="91"/>
      <c r="EY16" s="91"/>
      <c r="EZ16" s="91"/>
      <c r="FA16" s="91"/>
      <c r="FB16" s="91"/>
      <c r="FC16" s="91"/>
      <c r="FD16" s="91"/>
      <c r="FE16" s="91"/>
      <c r="FF16" s="91"/>
      <c r="FG16" s="91"/>
      <c r="FH16" s="91"/>
      <c r="FI16" s="91"/>
      <c r="FJ16" s="91"/>
      <c r="FK16" s="91"/>
      <c r="FL16" s="91"/>
      <c r="FM16" s="91"/>
      <c r="FN16" s="91"/>
      <c r="FO16" s="91"/>
      <c r="FP16" s="91"/>
      <c r="FQ16" s="91"/>
      <c r="FR16" s="91"/>
      <c r="FS16" s="91"/>
      <c r="FT16" s="91"/>
      <c r="FU16" s="91"/>
      <c r="FV16" s="91"/>
      <c r="FW16" s="91"/>
      <c r="FX16" s="91"/>
      <c r="FY16" s="91"/>
      <c r="FZ16" s="91"/>
      <c r="GA16" s="91"/>
      <c r="GB16" s="91"/>
      <c r="GC16" s="91"/>
      <c r="GD16" s="91"/>
      <c r="GE16" s="91"/>
      <c r="GF16" s="91"/>
      <c r="GG16" s="91"/>
      <c r="GH16" s="91"/>
      <c r="GI16" s="91"/>
      <c r="GJ16" s="91"/>
      <c r="GK16" s="91"/>
      <c r="GL16" s="91"/>
      <c r="GM16" s="91"/>
      <c r="GN16" s="91"/>
      <c r="GO16" s="91"/>
      <c r="GP16" s="91"/>
      <c r="GQ16" s="91"/>
      <c r="GR16" s="91"/>
      <c r="GS16" s="91"/>
      <c r="GT16" s="91"/>
      <c r="GU16" s="91"/>
      <c r="GV16" s="91"/>
      <c r="GW16" s="91"/>
      <c r="GX16" s="91"/>
      <c r="GY16" s="91"/>
      <c r="GZ16" s="91"/>
      <c r="HA16" s="91"/>
      <c r="HB16" s="91"/>
      <c r="HC16" s="91"/>
      <c r="HD16" s="91"/>
      <c r="HE16" s="91"/>
      <c r="HF16" s="91"/>
      <c r="HG16" s="91"/>
      <c r="HH16" s="91"/>
      <c r="HI16" s="91"/>
      <c r="HJ16" s="91"/>
      <c r="HK16" s="91"/>
      <c r="HL16" s="91"/>
      <c r="HM16" s="91"/>
      <c r="HN16" s="91"/>
      <c r="HO16" s="91"/>
      <c r="HP16" s="91"/>
      <c r="HQ16" s="91"/>
      <c r="HR16" s="91"/>
      <c r="HS16" s="91"/>
      <c r="HT16" s="91"/>
      <c r="HU16" s="91"/>
      <c r="HV16" s="91"/>
      <c r="HW16" s="91"/>
      <c r="HX16" s="91"/>
      <c r="HY16" s="91"/>
      <c r="HZ16" s="91"/>
      <c r="IA16" s="91"/>
      <c r="IB16" s="91"/>
      <c r="IC16" s="91"/>
      <c r="ID16" s="91"/>
      <c r="IE16" s="91"/>
      <c r="IF16" s="91"/>
      <c r="IG16" s="91"/>
      <c r="IH16" s="91"/>
      <c r="II16" s="91"/>
      <c r="IJ16" s="91"/>
      <c r="IK16" s="91"/>
      <c r="IL16" s="91"/>
      <c r="IM16" s="91"/>
      <c r="IN16" s="91"/>
      <c r="IO16" s="91"/>
      <c r="IP16" s="91"/>
      <c r="IQ16" s="91"/>
      <c r="IR16" s="91"/>
      <c r="IS16" s="91"/>
      <c r="IT16" s="91"/>
      <c r="IU16" s="91"/>
      <c r="IV16" s="91"/>
      <c r="IW16" s="91"/>
      <c r="IX16" s="91"/>
      <c r="IY16" s="91"/>
      <c r="IZ16" s="91"/>
      <c r="JA16" s="91"/>
      <c r="JB16" s="91"/>
      <c r="JC16" s="91"/>
      <c r="JD16" s="91"/>
      <c r="JE16" s="91"/>
      <c r="JF16" s="91"/>
      <c r="JG16" s="91"/>
      <c r="JH16" s="91"/>
      <c r="JI16" s="91"/>
      <c r="JJ16" s="91"/>
      <c r="JK16" s="91"/>
      <c r="JL16" s="91"/>
      <c r="JM16" s="91"/>
      <c r="JN16" s="91"/>
      <c r="JO16" s="91"/>
      <c r="JP16" s="91"/>
      <c r="JQ16" s="91"/>
      <c r="JR16" s="91"/>
      <c r="JS16" s="91"/>
      <c r="JT16" s="91"/>
      <c r="JU16" s="91"/>
      <c r="JV16" s="91"/>
      <c r="JW16" s="91"/>
      <c r="JX16" s="91"/>
      <c r="JY16" s="91"/>
      <c r="JZ16" s="91"/>
      <c r="KA16" s="91"/>
      <c r="KB16" s="91"/>
      <c r="KC16" s="91"/>
      <c r="KD16" s="91"/>
      <c r="KE16" s="91"/>
      <c r="KF16" s="91"/>
      <c r="KG16" s="91"/>
      <c r="KH16" s="91"/>
      <c r="KI16" s="91"/>
      <c r="KJ16" s="91"/>
      <c r="KK16" s="91"/>
      <c r="KL16" s="91"/>
      <c r="KM16" s="91"/>
      <c r="KN16" s="91"/>
      <c r="KO16" s="91"/>
      <c r="KP16" s="91"/>
      <c r="KQ16" s="91"/>
      <c r="KR16" s="91"/>
      <c r="KS16" s="91"/>
      <c r="KT16" s="91"/>
      <c r="KU16" s="91"/>
      <c r="KV16" s="91"/>
      <c r="KW16" s="91"/>
      <c r="KX16" s="91"/>
      <c r="KY16" s="91"/>
      <c r="KZ16" s="91"/>
      <c r="LA16" s="91"/>
      <c r="LB16" s="91"/>
      <c r="LC16" s="91"/>
      <c r="LD16" s="91"/>
      <c r="LE16" s="91"/>
      <c r="LF16" s="91"/>
      <c r="LG16" s="91"/>
      <c r="LH16" s="91"/>
      <c r="LI16" s="91"/>
      <c r="LJ16" s="91"/>
      <c r="LK16" s="91"/>
      <c r="LL16" s="91"/>
      <c r="LM16" s="91"/>
      <c r="LN16" s="91"/>
      <c r="LO16" s="91"/>
      <c r="LP16" s="91"/>
      <c r="LQ16" s="91"/>
      <c r="LR16" s="91"/>
      <c r="LS16" s="91"/>
      <c r="LT16" s="91"/>
      <c r="LU16" s="91"/>
      <c r="LV16" s="91"/>
      <c r="LW16" s="91"/>
      <c r="LX16" s="91"/>
      <c r="LY16" s="91"/>
      <c r="LZ16" s="91"/>
      <c r="MA16" s="91"/>
      <c r="MB16" s="91"/>
      <c r="MC16" s="91"/>
      <c r="MD16" s="91"/>
      <c r="ME16" s="91"/>
      <c r="MF16" s="91"/>
      <c r="MG16" s="91"/>
      <c r="MH16" s="91"/>
      <c r="MI16" s="91"/>
      <c r="MJ16" s="91"/>
      <c r="MK16" s="91"/>
      <c r="ML16" s="91"/>
      <c r="MM16" s="91"/>
      <c r="MN16" s="91"/>
      <c r="MO16" s="91"/>
      <c r="MP16" s="91"/>
      <c r="MQ16" s="91"/>
      <c r="MR16" s="91"/>
      <c r="MS16" s="91"/>
      <c r="MT16" s="91"/>
      <c r="MU16" s="91"/>
      <c r="MV16" s="91"/>
      <c r="MW16" s="91"/>
      <c r="MX16" s="91"/>
      <c r="MY16" s="91"/>
      <c r="MZ16" s="91"/>
      <c r="NA16" s="91"/>
      <c r="NB16" s="91"/>
      <c r="NC16" s="91"/>
      <c r="ND16" s="91"/>
      <c r="NE16" s="91"/>
      <c r="NF16" s="91"/>
      <c r="NG16" s="91"/>
      <c r="NH16" s="91"/>
      <c r="NI16" s="91"/>
      <c r="NJ16" s="91"/>
      <c r="NK16" s="91"/>
      <c r="NL16" s="91"/>
      <c r="NM16" s="91"/>
      <c r="NN16" s="91"/>
      <c r="NO16" s="91"/>
      <c r="NP16" s="91"/>
      <c r="NQ16" s="91"/>
      <c r="NR16" s="91"/>
      <c r="NS16" s="91"/>
      <c r="NT16" s="91"/>
      <c r="NU16" s="91"/>
      <c r="NV16" s="91"/>
      <c r="NW16" s="91"/>
      <c r="NX16" s="91"/>
      <c r="NY16" s="91"/>
      <c r="NZ16" s="91"/>
      <c r="OA16" s="91"/>
      <c r="OB16" s="91"/>
      <c r="OC16" s="91"/>
      <c r="OD16" s="91"/>
      <c r="OE16" s="91"/>
      <c r="OF16" s="91"/>
      <c r="OG16" s="91"/>
      <c r="OH16" s="91"/>
      <c r="OI16" s="91"/>
      <c r="OJ16" s="91"/>
      <c r="OK16" s="91"/>
      <c r="OL16" s="91"/>
      <c r="OM16" s="91"/>
      <c r="ON16" s="91"/>
      <c r="OO16" s="91"/>
      <c r="OP16" s="91"/>
      <c r="OQ16" s="91"/>
      <c r="OR16" s="91"/>
      <c r="OS16" s="91"/>
      <c r="OT16" s="91"/>
      <c r="OU16" s="91"/>
      <c r="OV16" s="91"/>
      <c r="OW16" s="91"/>
      <c r="OX16" s="91"/>
      <c r="OY16" s="91"/>
      <c r="OZ16" s="91"/>
      <c r="PA16" s="91"/>
      <c r="PB16" s="91"/>
      <c r="PC16" s="91"/>
      <c r="PD16" s="91"/>
      <c r="PE16" s="91"/>
      <c r="PF16" s="91"/>
      <c r="PG16" s="91"/>
      <c r="PH16" s="91"/>
      <c r="PI16" s="91"/>
      <c r="PJ16" s="91"/>
      <c r="PK16" s="91"/>
      <c r="PL16" s="91"/>
      <c r="PM16" s="91"/>
      <c r="PN16" s="91"/>
      <c r="PO16" s="91"/>
      <c r="PP16" s="91"/>
      <c r="PQ16" s="91"/>
      <c r="PR16" s="91"/>
      <c r="PS16" s="91"/>
      <c r="PT16" s="91"/>
      <c r="PU16" s="91"/>
      <c r="PV16" s="91"/>
      <c r="PW16" s="91"/>
      <c r="PX16" s="91"/>
      <c r="PY16" s="91"/>
      <c r="PZ16" s="91"/>
      <c r="QA16" s="91"/>
      <c r="QB16" s="91"/>
      <c r="QC16" s="91"/>
      <c r="QD16" s="91"/>
      <c r="QE16" s="91"/>
      <c r="QF16" s="91"/>
      <c r="QG16" s="91"/>
      <c r="QH16" s="91"/>
      <c r="QI16" s="91"/>
      <c r="QJ16" s="91"/>
      <c r="QK16" s="91"/>
      <c r="QL16" s="91"/>
      <c r="QM16" s="91"/>
      <c r="QN16" s="91"/>
      <c r="QO16" s="91"/>
      <c r="QP16" s="91"/>
      <c r="QQ16" s="91"/>
      <c r="QR16" s="91"/>
      <c r="QS16" s="91"/>
      <c r="QT16" s="91"/>
      <c r="QU16" s="91"/>
      <c r="QV16" s="91"/>
      <c r="QW16" s="91"/>
      <c r="QX16" s="91"/>
      <c r="QY16" s="91"/>
      <c r="QZ16" s="91"/>
      <c r="RA16" s="91"/>
      <c r="RB16" s="91"/>
      <c r="RC16" s="91"/>
      <c r="RD16" s="91"/>
      <c r="RE16" s="91"/>
      <c r="RF16" s="91"/>
      <c r="RG16" s="91"/>
      <c r="RH16" s="91"/>
      <c r="RI16" s="91"/>
      <c r="RJ16" s="91"/>
      <c r="RK16" s="91"/>
      <c r="RL16" s="91"/>
      <c r="RM16" s="91"/>
      <c r="RN16" s="91"/>
      <c r="RO16" s="91"/>
      <c r="RP16" s="91"/>
      <c r="RQ16" s="91"/>
      <c r="RR16" s="91"/>
      <c r="RS16" s="91"/>
      <c r="RT16" s="91"/>
      <c r="RU16" s="91"/>
      <c r="RV16" s="91"/>
      <c r="RW16" s="91"/>
      <c r="RX16" s="91"/>
      <c r="RY16" s="91"/>
      <c r="RZ16" s="91"/>
      <c r="SA16" s="91"/>
      <c r="SB16" s="91"/>
      <c r="SC16" s="91"/>
      <c r="SD16" s="91"/>
      <c r="SE16" s="91"/>
      <c r="SF16" s="91"/>
      <c r="SG16" s="91"/>
      <c r="SH16" s="91"/>
      <c r="SI16" s="91"/>
      <c r="SJ16" s="92"/>
      <c r="SK16" s="6"/>
    </row>
    <row r="17" ht="14.25" customHeight="1">
      <c r="A17" s="93" t="s">
        <v>575</v>
      </c>
      <c r="B17" s="94" t="s">
        <v>579</v>
      </c>
      <c r="C17" s="95"/>
      <c r="D17" s="74">
        <f t="shared" si="2"/>
        <v>0</v>
      </c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6"/>
      <c r="BF17" s="96"/>
      <c r="BG17" s="96"/>
      <c r="BH17" s="96"/>
      <c r="BI17" s="96"/>
      <c r="BJ17" s="96"/>
      <c r="BK17" s="96"/>
      <c r="BL17" s="96"/>
      <c r="BM17" s="96"/>
      <c r="BN17" s="96"/>
      <c r="BO17" s="96"/>
      <c r="BP17" s="96"/>
      <c r="BQ17" s="96"/>
      <c r="BR17" s="96"/>
      <c r="BS17" s="96"/>
      <c r="BT17" s="96"/>
      <c r="BU17" s="96"/>
      <c r="BV17" s="96"/>
      <c r="BW17" s="96"/>
      <c r="BX17" s="96"/>
      <c r="BY17" s="96"/>
      <c r="BZ17" s="96"/>
      <c r="CA17" s="96"/>
      <c r="CB17" s="96"/>
      <c r="CC17" s="96"/>
      <c r="CD17" s="96"/>
      <c r="CE17" s="96"/>
      <c r="CF17" s="96"/>
      <c r="CG17" s="96"/>
      <c r="CH17" s="96"/>
      <c r="CI17" s="96"/>
      <c r="CJ17" s="96"/>
      <c r="CK17" s="96"/>
      <c r="CL17" s="96"/>
      <c r="CM17" s="96"/>
      <c r="CN17" s="96"/>
      <c r="CO17" s="96"/>
      <c r="CP17" s="96"/>
      <c r="CQ17" s="96"/>
      <c r="CR17" s="96"/>
      <c r="CS17" s="96"/>
      <c r="CT17" s="96"/>
      <c r="CU17" s="96"/>
      <c r="CV17" s="96"/>
      <c r="CW17" s="96"/>
      <c r="CX17" s="96"/>
      <c r="CY17" s="96"/>
      <c r="CZ17" s="96"/>
      <c r="DA17" s="96"/>
      <c r="DB17" s="96"/>
      <c r="DC17" s="96"/>
      <c r="DD17" s="96"/>
      <c r="DE17" s="96"/>
      <c r="DF17" s="96"/>
      <c r="DG17" s="96"/>
      <c r="DH17" s="96"/>
      <c r="DI17" s="96"/>
      <c r="DJ17" s="96"/>
      <c r="DK17" s="96"/>
      <c r="DL17" s="96"/>
      <c r="DM17" s="96"/>
      <c r="DN17" s="96"/>
      <c r="DO17" s="96"/>
      <c r="DP17" s="96"/>
      <c r="DQ17" s="96"/>
      <c r="DR17" s="96"/>
      <c r="DS17" s="96"/>
      <c r="DT17" s="96"/>
      <c r="DU17" s="96"/>
      <c r="DV17" s="96"/>
      <c r="DW17" s="96"/>
      <c r="DX17" s="96"/>
      <c r="DY17" s="96"/>
      <c r="DZ17" s="96"/>
      <c r="EA17" s="96"/>
      <c r="EB17" s="96"/>
      <c r="EC17" s="96"/>
      <c r="ED17" s="96"/>
      <c r="EE17" s="96"/>
      <c r="EF17" s="96"/>
      <c r="EG17" s="96"/>
      <c r="EH17" s="96"/>
      <c r="EI17" s="96"/>
      <c r="EJ17" s="96"/>
      <c r="EK17" s="96"/>
      <c r="EL17" s="96"/>
      <c r="EM17" s="96"/>
      <c r="EN17" s="96"/>
      <c r="EO17" s="96"/>
      <c r="EP17" s="96"/>
      <c r="EQ17" s="96"/>
      <c r="ER17" s="96"/>
      <c r="ES17" s="96"/>
      <c r="ET17" s="96"/>
      <c r="EU17" s="96"/>
      <c r="EV17" s="96"/>
      <c r="EW17" s="96"/>
      <c r="EX17" s="96"/>
      <c r="EY17" s="96"/>
      <c r="EZ17" s="96"/>
      <c r="FA17" s="96"/>
      <c r="FB17" s="96"/>
      <c r="FC17" s="96"/>
      <c r="FD17" s="96"/>
      <c r="FE17" s="96"/>
      <c r="FF17" s="96"/>
      <c r="FG17" s="96"/>
      <c r="FH17" s="96"/>
      <c r="FI17" s="96"/>
      <c r="FJ17" s="96"/>
      <c r="FK17" s="96"/>
      <c r="FL17" s="96"/>
      <c r="FM17" s="96"/>
      <c r="FN17" s="96"/>
      <c r="FO17" s="96"/>
      <c r="FP17" s="96"/>
      <c r="FQ17" s="96"/>
      <c r="FR17" s="96"/>
      <c r="FS17" s="96"/>
      <c r="FT17" s="96"/>
      <c r="FU17" s="96"/>
      <c r="FV17" s="96"/>
      <c r="FW17" s="96"/>
      <c r="FX17" s="96"/>
      <c r="FY17" s="96"/>
      <c r="FZ17" s="96"/>
      <c r="GA17" s="96"/>
      <c r="GB17" s="96"/>
      <c r="GC17" s="96"/>
      <c r="GD17" s="96"/>
      <c r="GE17" s="96"/>
      <c r="GF17" s="96"/>
      <c r="GG17" s="96"/>
      <c r="GH17" s="96"/>
      <c r="GI17" s="96"/>
      <c r="GJ17" s="96"/>
      <c r="GK17" s="96"/>
      <c r="GL17" s="96"/>
      <c r="GM17" s="96"/>
      <c r="GN17" s="96"/>
      <c r="GO17" s="96"/>
      <c r="GP17" s="96"/>
      <c r="GQ17" s="96"/>
      <c r="GR17" s="96"/>
      <c r="GS17" s="96"/>
      <c r="GT17" s="96"/>
      <c r="GU17" s="96"/>
      <c r="GV17" s="96"/>
      <c r="GW17" s="96"/>
      <c r="GX17" s="96"/>
      <c r="GY17" s="96"/>
      <c r="GZ17" s="96"/>
      <c r="HA17" s="96"/>
      <c r="HB17" s="96"/>
      <c r="HC17" s="96"/>
      <c r="HD17" s="96"/>
      <c r="HE17" s="96"/>
      <c r="HF17" s="96"/>
      <c r="HG17" s="96"/>
      <c r="HH17" s="96"/>
      <c r="HI17" s="96"/>
      <c r="HJ17" s="96"/>
      <c r="HK17" s="96"/>
      <c r="HL17" s="96"/>
      <c r="HM17" s="96"/>
      <c r="HN17" s="96"/>
      <c r="HO17" s="96"/>
      <c r="HP17" s="96"/>
      <c r="HQ17" s="96"/>
      <c r="HR17" s="96"/>
      <c r="HS17" s="96"/>
      <c r="HT17" s="96"/>
      <c r="HU17" s="96"/>
      <c r="HV17" s="96"/>
      <c r="HW17" s="96"/>
      <c r="HX17" s="96"/>
      <c r="HY17" s="96"/>
      <c r="HZ17" s="96"/>
      <c r="IA17" s="96"/>
      <c r="IB17" s="96"/>
      <c r="IC17" s="96"/>
      <c r="ID17" s="96"/>
      <c r="IE17" s="96"/>
      <c r="IF17" s="96"/>
      <c r="IG17" s="96"/>
      <c r="IH17" s="96"/>
      <c r="II17" s="96"/>
      <c r="IJ17" s="96"/>
      <c r="IK17" s="96"/>
      <c r="IL17" s="96"/>
      <c r="IM17" s="96"/>
      <c r="IN17" s="96"/>
      <c r="IO17" s="96"/>
      <c r="IP17" s="96"/>
      <c r="IQ17" s="96"/>
      <c r="IR17" s="96"/>
      <c r="IS17" s="96"/>
      <c r="IT17" s="96"/>
      <c r="IU17" s="96"/>
      <c r="IV17" s="96"/>
      <c r="IW17" s="96"/>
      <c r="IX17" s="96"/>
      <c r="IY17" s="96"/>
      <c r="IZ17" s="96"/>
      <c r="JA17" s="96"/>
      <c r="JB17" s="96"/>
      <c r="JC17" s="96"/>
      <c r="JD17" s="96"/>
      <c r="JE17" s="96"/>
      <c r="JF17" s="96"/>
      <c r="JG17" s="96"/>
      <c r="JH17" s="96"/>
      <c r="JI17" s="96"/>
      <c r="JJ17" s="96"/>
      <c r="JK17" s="96"/>
      <c r="JL17" s="96"/>
      <c r="JM17" s="96"/>
      <c r="JN17" s="96"/>
      <c r="JO17" s="96"/>
      <c r="JP17" s="96"/>
      <c r="JQ17" s="96"/>
      <c r="JR17" s="96"/>
      <c r="JS17" s="96"/>
      <c r="JT17" s="96"/>
      <c r="JU17" s="96"/>
      <c r="JV17" s="96"/>
      <c r="JW17" s="96"/>
      <c r="JX17" s="96"/>
      <c r="JY17" s="96"/>
      <c r="JZ17" s="96"/>
      <c r="KA17" s="96"/>
      <c r="KB17" s="96"/>
      <c r="KC17" s="96"/>
      <c r="KD17" s="96"/>
      <c r="KE17" s="96"/>
      <c r="KF17" s="96"/>
      <c r="KG17" s="96"/>
      <c r="KH17" s="96"/>
      <c r="KI17" s="96"/>
      <c r="KJ17" s="96"/>
      <c r="KK17" s="96"/>
      <c r="KL17" s="96"/>
      <c r="KM17" s="96"/>
      <c r="KN17" s="96"/>
      <c r="KO17" s="96"/>
      <c r="KP17" s="96"/>
      <c r="KQ17" s="96"/>
      <c r="KR17" s="96"/>
      <c r="KS17" s="96"/>
      <c r="KT17" s="96"/>
      <c r="KU17" s="96"/>
      <c r="KV17" s="96"/>
      <c r="KW17" s="96"/>
      <c r="KX17" s="96"/>
      <c r="KY17" s="96"/>
      <c r="KZ17" s="96"/>
      <c r="LA17" s="96"/>
      <c r="LB17" s="96"/>
      <c r="LC17" s="96"/>
      <c r="LD17" s="96"/>
      <c r="LE17" s="96"/>
      <c r="LF17" s="96"/>
      <c r="LG17" s="96"/>
      <c r="LH17" s="96"/>
      <c r="LI17" s="96"/>
      <c r="LJ17" s="96"/>
      <c r="LK17" s="96"/>
      <c r="LL17" s="96"/>
      <c r="LM17" s="96"/>
      <c r="LN17" s="96"/>
      <c r="LO17" s="96"/>
      <c r="LP17" s="96"/>
      <c r="LQ17" s="96"/>
      <c r="LR17" s="96"/>
      <c r="LS17" s="96"/>
      <c r="LT17" s="96"/>
      <c r="LU17" s="96"/>
      <c r="LV17" s="96"/>
      <c r="LW17" s="96"/>
      <c r="LX17" s="96"/>
      <c r="LY17" s="96"/>
      <c r="LZ17" s="96"/>
      <c r="MA17" s="96"/>
      <c r="MB17" s="96"/>
      <c r="MC17" s="96"/>
      <c r="MD17" s="96"/>
      <c r="ME17" s="96"/>
      <c r="MF17" s="96"/>
      <c r="MG17" s="96"/>
      <c r="MH17" s="96"/>
      <c r="MI17" s="96"/>
      <c r="MJ17" s="96"/>
      <c r="MK17" s="96"/>
      <c r="ML17" s="96"/>
      <c r="MM17" s="96"/>
      <c r="MN17" s="96"/>
      <c r="MO17" s="96"/>
      <c r="MP17" s="96"/>
      <c r="MQ17" s="96"/>
      <c r="MR17" s="96"/>
      <c r="MS17" s="96"/>
      <c r="MT17" s="96"/>
      <c r="MU17" s="96"/>
      <c r="MV17" s="96"/>
      <c r="MW17" s="96"/>
      <c r="MX17" s="96"/>
      <c r="MY17" s="96"/>
      <c r="MZ17" s="96"/>
      <c r="NA17" s="96"/>
      <c r="NB17" s="96"/>
      <c r="NC17" s="96"/>
      <c r="ND17" s="96"/>
      <c r="NE17" s="96"/>
      <c r="NF17" s="96"/>
      <c r="NG17" s="96"/>
      <c r="NH17" s="96"/>
      <c r="NI17" s="96"/>
      <c r="NJ17" s="96"/>
      <c r="NK17" s="96"/>
      <c r="NL17" s="96"/>
      <c r="NM17" s="96"/>
      <c r="NN17" s="96"/>
      <c r="NO17" s="96"/>
      <c r="NP17" s="96"/>
      <c r="NQ17" s="96"/>
      <c r="NR17" s="96"/>
      <c r="NS17" s="96"/>
      <c r="NT17" s="96"/>
      <c r="NU17" s="96"/>
      <c r="NV17" s="96"/>
      <c r="NW17" s="96"/>
      <c r="NX17" s="96"/>
      <c r="NY17" s="96"/>
      <c r="NZ17" s="96"/>
      <c r="OA17" s="96"/>
      <c r="OB17" s="96"/>
      <c r="OC17" s="96"/>
      <c r="OD17" s="96"/>
      <c r="OE17" s="96"/>
      <c r="OF17" s="96"/>
      <c r="OG17" s="96"/>
      <c r="OH17" s="96"/>
      <c r="OI17" s="96"/>
      <c r="OJ17" s="96"/>
      <c r="OK17" s="96"/>
      <c r="OL17" s="96"/>
      <c r="OM17" s="96"/>
      <c r="ON17" s="96"/>
      <c r="OO17" s="96"/>
      <c r="OP17" s="96"/>
      <c r="OQ17" s="96"/>
      <c r="OR17" s="96"/>
      <c r="OS17" s="96"/>
      <c r="OT17" s="96"/>
      <c r="OU17" s="96"/>
      <c r="OV17" s="96"/>
      <c r="OW17" s="96"/>
      <c r="OX17" s="96"/>
      <c r="OY17" s="96"/>
      <c r="OZ17" s="96"/>
      <c r="PA17" s="96"/>
      <c r="PB17" s="96"/>
      <c r="PC17" s="96"/>
      <c r="PD17" s="96"/>
      <c r="PE17" s="96"/>
      <c r="PF17" s="96"/>
      <c r="PG17" s="96"/>
      <c r="PH17" s="96"/>
      <c r="PI17" s="96"/>
      <c r="PJ17" s="96"/>
      <c r="PK17" s="96"/>
      <c r="PL17" s="96"/>
      <c r="PM17" s="96"/>
      <c r="PN17" s="96"/>
      <c r="PO17" s="96"/>
      <c r="PP17" s="96"/>
      <c r="PQ17" s="96"/>
      <c r="PR17" s="96"/>
      <c r="PS17" s="96"/>
      <c r="PT17" s="96"/>
      <c r="PU17" s="96"/>
      <c r="PV17" s="96"/>
      <c r="PW17" s="96"/>
      <c r="PX17" s="96"/>
      <c r="PY17" s="96"/>
      <c r="PZ17" s="96"/>
      <c r="QA17" s="96"/>
      <c r="QB17" s="96"/>
      <c r="QC17" s="96"/>
      <c r="QD17" s="96"/>
      <c r="QE17" s="96"/>
      <c r="QF17" s="96"/>
      <c r="QG17" s="96"/>
      <c r="QH17" s="96"/>
      <c r="QI17" s="96"/>
      <c r="QJ17" s="96"/>
      <c r="QK17" s="96"/>
      <c r="QL17" s="96"/>
      <c r="QM17" s="96"/>
      <c r="QN17" s="96"/>
      <c r="QO17" s="96"/>
      <c r="QP17" s="96"/>
      <c r="QQ17" s="96"/>
      <c r="QR17" s="96"/>
      <c r="QS17" s="96"/>
      <c r="QT17" s="96"/>
      <c r="QU17" s="96"/>
      <c r="QV17" s="96"/>
      <c r="QW17" s="96"/>
      <c r="QX17" s="96"/>
      <c r="QY17" s="96"/>
      <c r="QZ17" s="96"/>
      <c r="RA17" s="96"/>
      <c r="RB17" s="96"/>
      <c r="RC17" s="96"/>
      <c r="RD17" s="96"/>
      <c r="RE17" s="96"/>
      <c r="RF17" s="96"/>
      <c r="RG17" s="96"/>
      <c r="RH17" s="96"/>
      <c r="RI17" s="96"/>
      <c r="RJ17" s="96"/>
      <c r="RK17" s="96"/>
      <c r="RL17" s="96"/>
      <c r="RM17" s="96"/>
      <c r="RN17" s="96"/>
      <c r="RO17" s="96"/>
      <c r="RP17" s="96"/>
      <c r="RQ17" s="96"/>
      <c r="RR17" s="96"/>
      <c r="RS17" s="96"/>
      <c r="RT17" s="96"/>
      <c r="RU17" s="96"/>
      <c r="RV17" s="96"/>
      <c r="RW17" s="96"/>
      <c r="RX17" s="96"/>
      <c r="RY17" s="96"/>
      <c r="RZ17" s="96"/>
      <c r="SA17" s="96"/>
      <c r="SB17" s="96"/>
      <c r="SC17" s="96"/>
      <c r="SD17" s="96"/>
      <c r="SE17" s="96"/>
      <c r="SF17" s="96"/>
      <c r="SG17" s="96"/>
      <c r="SH17" s="96"/>
      <c r="SI17" s="96"/>
      <c r="SJ17" s="97"/>
      <c r="SK17" s="6"/>
    </row>
    <row r="18" ht="14.25" customHeight="1">
      <c r="A18" s="68"/>
      <c r="B18" s="98" t="s">
        <v>580</v>
      </c>
      <c r="C18" s="99"/>
      <c r="D18" s="100"/>
      <c r="E18" s="98" t="s">
        <v>15</v>
      </c>
      <c r="F18" s="98" t="s">
        <v>16</v>
      </c>
      <c r="G18" s="98" t="s">
        <v>17</v>
      </c>
      <c r="H18" s="98" t="s">
        <v>18</v>
      </c>
      <c r="I18" s="98" t="s">
        <v>19</v>
      </c>
      <c r="J18" s="98" t="s">
        <v>20</v>
      </c>
      <c r="K18" s="98" t="s">
        <v>21</v>
      </c>
      <c r="L18" s="98" t="s">
        <v>22</v>
      </c>
      <c r="M18" s="98" t="s">
        <v>23</v>
      </c>
      <c r="N18" s="98" t="s">
        <v>24</v>
      </c>
      <c r="O18" s="98" t="s">
        <v>25</v>
      </c>
      <c r="P18" s="98" t="s">
        <v>26</v>
      </c>
      <c r="Q18" s="98" t="s">
        <v>27</v>
      </c>
      <c r="R18" s="98" t="s">
        <v>28</v>
      </c>
      <c r="S18" s="98" t="s">
        <v>29</v>
      </c>
      <c r="T18" s="98" t="s">
        <v>30</v>
      </c>
      <c r="U18" s="98" t="s">
        <v>31</v>
      </c>
      <c r="V18" s="98" t="s">
        <v>32</v>
      </c>
      <c r="W18" s="98" t="s">
        <v>33</v>
      </c>
      <c r="X18" s="98" t="s">
        <v>34</v>
      </c>
      <c r="Y18" s="98" t="s">
        <v>35</v>
      </c>
      <c r="Z18" s="98" t="s">
        <v>36</v>
      </c>
      <c r="AA18" s="98" t="s">
        <v>37</v>
      </c>
      <c r="AB18" s="98" t="s">
        <v>38</v>
      </c>
      <c r="AC18" s="98" t="s">
        <v>39</v>
      </c>
      <c r="AD18" s="98" t="s">
        <v>40</v>
      </c>
      <c r="AE18" s="98" t="s">
        <v>41</v>
      </c>
      <c r="AF18" s="98" t="s">
        <v>42</v>
      </c>
      <c r="AG18" s="98" t="s">
        <v>43</v>
      </c>
      <c r="AH18" s="98" t="s">
        <v>44</v>
      </c>
      <c r="AI18" s="98" t="s">
        <v>45</v>
      </c>
      <c r="AJ18" s="98" t="s">
        <v>46</v>
      </c>
      <c r="AK18" s="98" t="s">
        <v>47</v>
      </c>
      <c r="AL18" s="98" t="s">
        <v>48</v>
      </c>
      <c r="AM18" s="98" t="s">
        <v>49</v>
      </c>
      <c r="AN18" s="98" t="s">
        <v>50</v>
      </c>
      <c r="AO18" s="98" t="s">
        <v>51</v>
      </c>
      <c r="AP18" s="98" t="s">
        <v>52</v>
      </c>
      <c r="AQ18" s="98" t="s">
        <v>53</v>
      </c>
      <c r="AR18" s="98" t="s">
        <v>54</v>
      </c>
      <c r="AS18" s="98" t="s">
        <v>55</v>
      </c>
      <c r="AT18" s="98" t="s">
        <v>56</v>
      </c>
      <c r="AU18" s="98" t="s">
        <v>57</v>
      </c>
      <c r="AV18" s="98" t="s">
        <v>58</v>
      </c>
      <c r="AW18" s="98" t="s">
        <v>59</v>
      </c>
      <c r="AX18" s="98" t="s">
        <v>60</v>
      </c>
      <c r="AY18" s="98" t="s">
        <v>61</v>
      </c>
      <c r="AZ18" s="98" t="s">
        <v>62</v>
      </c>
      <c r="BA18" s="98" t="s">
        <v>63</v>
      </c>
      <c r="BB18" s="98" t="s">
        <v>64</v>
      </c>
      <c r="BC18" s="98" t="s">
        <v>65</v>
      </c>
      <c r="BD18" s="98" t="s">
        <v>66</v>
      </c>
      <c r="BE18" s="98" t="s">
        <v>67</v>
      </c>
      <c r="BF18" s="98" t="s">
        <v>68</v>
      </c>
      <c r="BG18" s="98" t="s">
        <v>69</v>
      </c>
      <c r="BH18" s="98" t="s">
        <v>70</v>
      </c>
      <c r="BI18" s="98" t="s">
        <v>71</v>
      </c>
      <c r="BJ18" s="98" t="s">
        <v>72</v>
      </c>
      <c r="BK18" s="98" t="s">
        <v>73</v>
      </c>
      <c r="BL18" s="98" t="s">
        <v>74</v>
      </c>
      <c r="BM18" s="98" t="s">
        <v>75</v>
      </c>
      <c r="BN18" s="98" t="s">
        <v>76</v>
      </c>
      <c r="BO18" s="98" t="s">
        <v>77</v>
      </c>
      <c r="BP18" s="98" t="s">
        <v>78</v>
      </c>
      <c r="BQ18" s="98" t="s">
        <v>79</v>
      </c>
      <c r="BR18" s="98" t="s">
        <v>80</v>
      </c>
      <c r="BS18" s="98" t="s">
        <v>81</v>
      </c>
      <c r="BT18" s="98" t="s">
        <v>82</v>
      </c>
      <c r="BU18" s="98" t="s">
        <v>83</v>
      </c>
      <c r="BV18" s="98" t="s">
        <v>84</v>
      </c>
      <c r="BW18" s="98" t="s">
        <v>85</v>
      </c>
      <c r="BX18" s="98" t="s">
        <v>86</v>
      </c>
      <c r="BY18" s="98" t="s">
        <v>87</v>
      </c>
      <c r="BZ18" s="98" t="s">
        <v>88</v>
      </c>
      <c r="CA18" s="98" t="s">
        <v>89</v>
      </c>
      <c r="CB18" s="98" t="s">
        <v>90</v>
      </c>
      <c r="CC18" s="98" t="s">
        <v>91</v>
      </c>
      <c r="CD18" s="98" t="s">
        <v>92</v>
      </c>
      <c r="CE18" s="98" t="s">
        <v>93</v>
      </c>
      <c r="CF18" s="98" t="s">
        <v>94</v>
      </c>
      <c r="CG18" s="98" t="s">
        <v>95</v>
      </c>
      <c r="CH18" s="98" t="s">
        <v>96</v>
      </c>
      <c r="CI18" s="98" t="s">
        <v>97</v>
      </c>
      <c r="CJ18" s="98" t="s">
        <v>98</v>
      </c>
      <c r="CK18" s="98" t="s">
        <v>99</v>
      </c>
      <c r="CL18" s="98" t="s">
        <v>100</v>
      </c>
      <c r="CM18" s="98" t="s">
        <v>101</v>
      </c>
      <c r="CN18" s="98" t="s">
        <v>102</v>
      </c>
      <c r="CO18" s="98" t="s">
        <v>103</v>
      </c>
      <c r="CP18" s="98" t="s">
        <v>104</v>
      </c>
      <c r="CQ18" s="98" t="s">
        <v>105</v>
      </c>
      <c r="CR18" s="98" t="s">
        <v>106</v>
      </c>
      <c r="CS18" s="98" t="s">
        <v>107</v>
      </c>
      <c r="CT18" s="98" t="s">
        <v>108</v>
      </c>
      <c r="CU18" s="98" t="s">
        <v>109</v>
      </c>
      <c r="CV18" s="98" t="s">
        <v>110</v>
      </c>
      <c r="CW18" s="98" t="s">
        <v>111</v>
      </c>
      <c r="CX18" s="98" t="s">
        <v>112</v>
      </c>
      <c r="CY18" s="98" t="s">
        <v>113</v>
      </c>
      <c r="CZ18" s="98" t="s">
        <v>114</v>
      </c>
      <c r="DA18" s="98" t="s">
        <v>115</v>
      </c>
      <c r="DB18" s="98" t="s">
        <v>116</v>
      </c>
      <c r="DC18" s="98" t="s">
        <v>117</v>
      </c>
      <c r="DD18" s="98" t="s">
        <v>118</v>
      </c>
      <c r="DE18" s="98" t="s">
        <v>119</v>
      </c>
      <c r="DF18" s="98" t="s">
        <v>120</v>
      </c>
      <c r="DG18" s="98" t="s">
        <v>121</v>
      </c>
      <c r="DH18" s="98" t="s">
        <v>122</v>
      </c>
      <c r="DI18" s="98" t="s">
        <v>123</v>
      </c>
      <c r="DJ18" s="98" t="s">
        <v>124</v>
      </c>
      <c r="DK18" s="98" t="s">
        <v>125</v>
      </c>
      <c r="DL18" s="98" t="s">
        <v>126</v>
      </c>
      <c r="DM18" s="98" t="s">
        <v>127</v>
      </c>
      <c r="DN18" s="98" t="s">
        <v>128</v>
      </c>
      <c r="DO18" s="98" t="s">
        <v>129</v>
      </c>
      <c r="DP18" s="98" t="s">
        <v>130</v>
      </c>
      <c r="DQ18" s="98" t="s">
        <v>131</v>
      </c>
      <c r="DR18" s="98" t="s">
        <v>132</v>
      </c>
      <c r="DS18" s="98" t="s">
        <v>133</v>
      </c>
      <c r="DT18" s="98" t="s">
        <v>134</v>
      </c>
      <c r="DU18" s="98" t="s">
        <v>135</v>
      </c>
      <c r="DV18" s="98" t="s">
        <v>136</v>
      </c>
      <c r="DW18" s="98" t="s">
        <v>137</v>
      </c>
      <c r="DX18" s="98" t="s">
        <v>138</v>
      </c>
      <c r="DY18" s="98" t="s">
        <v>139</v>
      </c>
      <c r="DZ18" s="98" t="s">
        <v>140</v>
      </c>
      <c r="EA18" s="98" t="s">
        <v>141</v>
      </c>
      <c r="EB18" s="98" t="s">
        <v>142</v>
      </c>
      <c r="EC18" s="98" t="s">
        <v>143</v>
      </c>
      <c r="ED18" s="98" t="s">
        <v>144</v>
      </c>
      <c r="EE18" s="98" t="s">
        <v>145</v>
      </c>
      <c r="EF18" s="98" t="s">
        <v>146</v>
      </c>
      <c r="EG18" s="98" t="s">
        <v>147</v>
      </c>
      <c r="EH18" s="98" t="s">
        <v>148</v>
      </c>
      <c r="EI18" s="98" t="s">
        <v>149</v>
      </c>
      <c r="EJ18" s="98" t="s">
        <v>150</v>
      </c>
      <c r="EK18" s="98" t="s">
        <v>151</v>
      </c>
      <c r="EL18" s="98" t="s">
        <v>152</v>
      </c>
      <c r="EM18" s="98" t="s">
        <v>153</v>
      </c>
      <c r="EN18" s="98" t="s">
        <v>154</v>
      </c>
      <c r="EO18" s="98" t="s">
        <v>155</v>
      </c>
      <c r="EP18" s="98" t="s">
        <v>156</v>
      </c>
      <c r="EQ18" s="98" t="s">
        <v>157</v>
      </c>
      <c r="ER18" s="98" t="s">
        <v>158</v>
      </c>
      <c r="ES18" s="98" t="s">
        <v>159</v>
      </c>
      <c r="ET18" s="98" t="s">
        <v>160</v>
      </c>
      <c r="EU18" s="98" t="s">
        <v>161</v>
      </c>
      <c r="EV18" s="98" t="s">
        <v>162</v>
      </c>
      <c r="EW18" s="98" t="s">
        <v>163</v>
      </c>
      <c r="EX18" s="98" t="s">
        <v>164</v>
      </c>
      <c r="EY18" s="98" t="s">
        <v>165</v>
      </c>
      <c r="EZ18" s="98" t="s">
        <v>166</v>
      </c>
      <c r="FA18" s="98" t="s">
        <v>167</v>
      </c>
      <c r="FB18" s="98" t="s">
        <v>168</v>
      </c>
      <c r="FC18" s="98" t="s">
        <v>169</v>
      </c>
      <c r="FD18" s="98" t="s">
        <v>170</v>
      </c>
      <c r="FE18" s="98" t="s">
        <v>171</v>
      </c>
      <c r="FF18" s="98" t="s">
        <v>172</v>
      </c>
      <c r="FG18" s="98" t="s">
        <v>173</v>
      </c>
      <c r="FH18" s="98" t="s">
        <v>174</v>
      </c>
      <c r="FI18" s="98" t="s">
        <v>175</v>
      </c>
      <c r="FJ18" s="98" t="s">
        <v>176</v>
      </c>
      <c r="FK18" s="98" t="s">
        <v>177</v>
      </c>
      <c r="FL18" s="98" t="s">
        <v>178</v>
      </c>
      <c r="FM18" s="98" t="s">
        <v>179</v>
      </c>
      <c r="FN18" s="98" t="s">
        <v>180</v>
      </c>
      <c r="FO18" s="98" t="s">
        <v>181</v>
      </c>
      <c r="FP18" s="98" t="s">
        <v>182</v>
      </c>
      <c r="FQ18" s="98" t="s">
        <v>183</v>
      </c>
      <c r="FR18" s="98" t="s">
        <v>184</v>
      </c>
      <c r="FS18" s="98" t="s">
        <v>185</v>
      </c>
      <c r="FT18" s="98" t="s">
        <v>186</v>
      </c>
      <c r="FU18" s="98" t="s">
        <v>187</v>
      </c>
      <c r="FV18" s="98" t="s">
        <v>188</v>
      </c>
      <c r="FW18" s="98" t="s">
        <v>189</v>
      </c>
      <c r="FX18" s="98" t="s">
        <v>190</v>
      </c>
      <c r="FY18" s="98" t="s">
        <v>191</v>
      </c>
      <c r="FZ18" s="98" t="s">
        <v>192</v>
      </c>
      <c r="GA18" s="98" t="s">
        <v>193</v>
      </c>
      <c r="GB18" s="98" t="s">
        <v>194</v>
      </c>
      <c r="GC18" s="98" t="s">
        <v>195</v>
      </c>
      <c r="GD18" s="98" t="s">
        <v>196</v>
      </c>
      <c r="GE18" s="98" t="s">
        <v>197</v>
      </c>
      <c r="GF18" s="98" t="s">
        <v>198</v>
      </c>
      <c r="GG18" s="98" t="s">
        <v>199</v>
      </c>
      <c r="GH18" s="98" t="s">
        <v>200</v>
      </c>
      <c r="GI18" s="98" t="s">
        <v>201</v>
      </c>
      <c r="GJ18" s="98" t="s">
        <v>202</v>
      </c>
      <c r="GK18" s="98" t="s">
        <v>203</v>
      </c>
      <c r="GL18" s="98" t="s">
        <v>204</v>
      </c>
      <c r="GM18" s="98" t="s">
        <v>205</v>
      </c>
      <c r="GN18" s="98" t="s">
        <v>206</v>
      </c>
      <c r="GO18" s="98" t="s">
        <v>207</v>
      </c>
      <c r="GP18" s="98" t="s">
        <v>208</v>
      </c>
      <c r="GQ18" s="98" t="s">
        <v>209</v>
      </c>
      <c r="GR18" s="98" t="s">
        <v>210</v>
      </c>
      <c r="GS18" s="98" t="s">
        <v>211</v>
      </c>
      <c r="GT18" s="98" t="s">
        <v>212</v>
      </c>
      <c r="GU18" s="98" t="s">
        <v>213</v>
      </c>
      <c r="GV18" s="98" t="s">
        <v>214</v>
      </c>
      <c r="GW18" s="98" t="s">
        <v>215</v>
      </c>
      <c r="GX18" s="98" t="s">
        <v>216</v>
      </c>
      <c r="GY18" s="98" t="s">
        <v>217</v>
      </c>
      <c r="GZ18" s="98" t="s">
        <v>218</v>
      </c>
      <c r="HA18" s="98" t="s">
        <v>219</v>
      </c>
      <c r="HB18" s="98" t="s">
        <v>220</v>
      </c>
      <c r="HC18" s="98" t="s">
        <v>221</v>
      </c>
      <c r="HD18" s="98" t="s">
        <v>222</v>
      </c>
      <c r="HE18" s="98" t="s">
        <v>223</v>
      </c>
      <c r="HF18" s="98" t="s">
        <v>224</v>
      </c>
      <c r="HG18" s="98" t="s">
        <v>225</v>
      </c>
      <c r="HH18" s="98" t="s">
        <v>226</v>
      </c>
      <c r="HI18" s="98" t="s">
        <v>227</v>
      </c>
      <c r="HJ18" s="98" t="s">
        <v>228</v>
      </c>
      <c r="HK18" s="98" t="s">
        <v>229</v>
      </c>
      <c r="HL18" s="98" t="s">
        <v>230</v>
      </c>
      <c r="HM18" s="98" t="s">
        <v>231</v>
      </c>
      <c r="HN18" s="98" t="s">
        <v>232</v>
      </c>
      <c r="HO18" s="98" t="s">
        <v>233</v>
      </c>
      <c r="HP18" s="98" t="s">
        <v>234</v>
      </c>
      <c r="HQ18" s="98" t="s">
        <v>235</v>
      </c>
      <c r="HR18" s="98" t="s">
        <v>236</v>
      </c>
      <c r="HS18" s="98" t="s">
        <v>237</v>
      </c>
      <c r="HT18" s="98" t="s">
        <v>238</v>
      </c>
      <c r="HU18" s="98" t="s">
        <v>239</v>
      </c>
      <c r="HV18" s="98" t="s">
        <v>240</v>
      </c>
      <c r="HW18" s="98" t="s">
        <v>241</v>
      </c>
      <c r="HX18" s="98" t="s">
        <v>242</v>
      </c>
      <c r="HY18" s="98" t="s">
        <v>243</v>
      </c>
      <c r="HZ18" s="98" t="s">
        <v>244</v>
      </c>
      <c r="IA18" s="98" t="s">
        <v>245</v>
      </c>
      <c r="IB18" s="98" t="s">
        <v>246</v>
      </c>
      <c r="IC18" s="98" t="s">
        <v>247</v>
      </c>
      <c r="ID18" s="98" t="s">
        <v>248</v>
      </c>
      <c r="IE18" s="98" t="s">
        <v>249</v>
      </c>
      <c r="IF18" s="98" t="s">
        <v>250</v>
      </c>
      <c r="IG18" s="98" t="s">
        <v>251</v>
      </c>
      <c r="IH18" s="98" t="s">
        <v>252</v>
      </c>
      <c r="II18" s="98" t="s">
        <v>253</v>
      </c>
      <c r="IJ18" s="98" t="s">
        <v>254</v>
      </c>
      <c r="IK18" s="98" t="s">
        <v>255</v>
      </c>
      <c r="IL18" s="98" t="s">
        <v>256</v>
      </c>
      <c r="IM18" s="98" t="s">
        <v>257</v>
      </c>
      <c r="IN18" s="98" t="s">
        <v>258</v>
      </c>
      <c r="IO18" s="98" t="s">
        <v>259</v>
      </c>
      <c r="IP18" s="98" t="s">
        <v>260</v>
      </c>
      <c r="IQ18" s="98" t="s">
        <v>261</v>
      </c>
      <c r="IR18" s="98" t="s">
        <v>262</v>
      </c>
      <c r="IS18" s="98" t="s">
        <v>263</v>
      </c>
      <c r="IT18" s="98" t="s">
        <v>264</v>
      </c>
      <c r="IU18" s="98" t="s">
        <v>265</v>
      </c>
      <c r="IV18" s="98" t="s">
        <v>266</v>
      </c>
      <c r="IW18" s="98" t="s">
        <v>267</v>
      </c>
      <c r="IX18" s="98" t="s">
        <v>268</v>
      </c>
      <c r="IY18" s="98" t="s">
        <v>269</v>
      </c>
      <c r="IZ18" s="98" t="s">
        <v>270</v>
      </c>
      <c r="JA18" s="98" t="s">
        <v>271</v>
      </c>
      <c r="JB18" s="98" t="s">
        <v>272</v>
      </c>
      <c r="JC18" s="98" t="s">
        <v>273</v>
      </c>
      <c r="JD18" s="98" t="s">
        <v>274</v>
      </c>
      <c r="JE18" s="98" t="s">
        <v>275</v>
      </c>
      <c r="JF18" s="98" t="s">
        <v>276</v>
      </c>
      <c r="JG18" s="98" t="s">
        <v>277</v>
      </c>
      <c r="JH18" s="98" t="s">
        <v>278</v>
      </c>
      <c r="JI18" s="98" t="s">
        <v>279</v>
      </c>
      <c r="JJ18" s="98" t="s">
        <v>280</v>
      </c>
      <c r="JK18" s="98" t="s">
        <v>281</v>
      </c>
      <c r="JL18" s="98" t="s">
        <v>282</v>
      </c>
      <c r="JM18" s="98" t="s">
        <v>283</v>
      </c>
      <c r="JN18" s="98" t="s">
        <v>284</v>
      </c>
      <c r="JO18" s="98" t="s">
        <v>285</v>
      </c>
      <c r="JP18" s="98" t="s">
        <v>286</v>
      </c>
      <c r="JQ18" s="98" t="s">
        <v>287</v>
      </c>
      <c r="JR18" s="98" t="s">
        <v>288</v>
      </c>
      <c r="JS18" s="98" t="s">
        <v>289</v>
      </c>
      <c r="JT18" s="98" t="s">
        <v>290</v>
      </c>
      <c r="JU18" s="98" t="s">
        <v>291</v>
      </c>
      <c r="JV18" s="98" t="s">
        <v>292</v>
      </c>
      <c r="JW18" s="98" t="s">
        <v>293</v>
      </c>
      <c r="JX18" s="98" t="s">
        <v>294</v>
      </c>
      <c r="JY18" s="98" t="s">
        <v>295</v>
      </c>
      <c r="JZ18" s="98" t="s">
        <v>296</v>
      </c>
      <c r="KA18" s="98" t="s">
        <v>297</v>
      </c>
      <c r="KB18" s="98" t="s">
        <v>298</v>
      </c>
      <c r="KC18" s="98" t="s">
        <v>299</v>
      </c>
      <c r="KD18" s="98" t="s">
        <v>300</v>
      </c>
      <c r="KE18" s="98" t="s">
        <v>301</v>
      </c>
      <c r="KF18" s="98" t="s">
        <v>302</v>
      </c>
      <c r="KG18" s="98" t="s">
        <v>303</v>
      </c>
      <c r="KH18" s="98" t="s">
        <v>304</v>
      </c>
      <c r="KI18" s="98" t="s">
        <v>305</v>
      </c>
      <c r="KJ18" s="98" t="s">
        <v>306</v>
      </c>
      <c r="KK18" s="98" t="s">
        <v>307</v>
      </c>
      <c r="KL18" s="98" t="s">
        <v>308</v>
      </c>
      <c r="KM18" s="98" t="s">
        <v>309</v>
      </c>
      <c r="KN18" s="98" t="s">
        <v>310</v>
      </c>
      <c r="KO18" s="98" t="s">
        <v>311</v>
      </c>
      <c r="KP18" s="98" t="s">
        <v>312</v>
      </c>
      <c r="KQ18" s="98" t="s">
        <v>313</v>
      </c>
      <c r="KR18" s="98" t="s">
        <v>314</v>
      </c>
      <c r="KS18" s="98" t="s">
        <v>315</v>
      </c>
      <c r="KT18" s="98" t="s">
        <v>316</v>
      </c>
      <c r="KU18" s="98" t="s">
        <v>317</v>
      </c>
      <c r="KV18" s="98" t="s">
        <v>318</v>
      </c>
      <c r="KW18" s="98" t="s">
        <v>319</v>
      </c>
      <c r="KX18" s="98" t="s">
        <v>320</v>
      </c>
      <c r="KY18" s="98" t="s">
        <v>321</v>
      </c>
      <c r="KZ18" s="98" t="s">
        <v>322</v>
      </c>
      <c r="LA18" s="98" t="s">
        <v>323</v>
      </c>
      <c r="LB18" s="98" t="s">
        <v>324</v>
      </c>
      <c r="LC18" s="98" t="s">
        <v>325</v>
      </c>
      <c r="LD18" s="98" t="s">
        <v>326</v>
      </c>
      <c r="LE18" s="98" t="s">
        <v>327</v>
      </c>
      <c r="LF18" s="98" t="s">
        <v>328</v>
      </c>
      <c r="LG18" s="98" t="s">
        <v>329</v>
      </c>
      <c r="LH18" s="98" t="s">
        <v>330</v>
      </c>
      <c r="LI18" s="98" t="s">
        <v>331</v>
      </c>
      <c r="LJ18" s="98" t="s">
        <v>332</v>
      </c>
      <c r="LK18" s="98" t="s">
        <v>333</v>
      </c>
      <c r="LL18" s="98" t="s">
        <v>334</v>
      </c>
      <c r="LM18" s="98" t="s">
        <v>335</v>
      </c>
      <c r="LN18" s="98" t="s">
        <v>336</v>
      </c>
      <c r="LO18" s="98" t="s">
        <v>337</v>
      </c>
      <c r="LP18" s="98" t="s">
        <v>338</v>
      </c>
      <c r="LQ18" s="98" t="s">
        <v>339</v>
      </c>
      <c r="LR18" s="98" t="s">
        <v>340</v>
      </c>
      <c r="LS18" s="98" t="s">
        <v>341</v>
      </c>
      <c r="LT18" s="98" t="s">
        <v>342</v>
      </c>
      <c r="LU18" s="98" t="s">
        <v>343</v>
      </c>
      <c r="LV18" s="98" t="s">
        <v>344</v>
      </c>
      <c r="LW18" s="98" t="s">
        <v>345</v>
      </c>
      <c r="LX18" s="98" t="s">
        <v>346</v>
      </c>
      <c r="LY18" s="98" t="s">
        <v>347</v>
      </c>
      <c r="LZ18" s="98" t="s">
        <v>348</v>
      </c>
      <c r="MA18" s="98" t="s">
        <v>349</v>
      </c>
      <c r="MB18" s="98" t="s">
        <v>350</v>
      </c>
      <c r="MC18" s="98" t="s">
        <v>351</v>
      </c>
      <c r="MD18" s="98" t="s">
        <v>352</v>
      </c>
      <c r="ME18" s="98" t="s">
        <v>353</v>
      </c>
      <c r="MF18" s="98" t="s">
        <v>354</v>
      </c>
      <c r="MG18" s="98" t="s">
        <v>355</v>
      </c>
      <c r="MH18" s="98" t="s">
        <v>356</v>
      </c>
      <c r="MI18" s="98" t="s">
        <v>357</v>
      </c>
      <c r="MJ18" s="98" t="s">
        <v>358</v>
      </c>
      <c r="MK18" s="98" t="s">
        <v>359</v>
      </c>
      <c r="ML18" s="98" t="s">
        <v>360</v>
      </c>
      <c r="MM18" s="98" t="s">
        <v>361</v>
      </c>
      <c r="MN18" s="98" t="s">
        <v>362</v>
      </c>
      <c r="MO18" s="98" t="s">
        <v>363</v>
      </c>
      <c r="MP18" s="98" t="s">
        <v>364</v>
      </c>
      <c r="MQ18" s="98" t="s">
        <v>365</v>
      </c>
      <c r="MR18" s="98" t="s">
        <v>366</v>
      </c>
      <c r="MS18" s="98" t="s">
        <v>367</v>
      </c>
      <c r="MT18" s="98" t="s">
        <v>368</v>
      </c>
      <c r="MU18" s="98" t="s">
        <v>369</v>
      </c>
      <c r="MV18" s="98" t="s">
        <v>370</v>
      </c>
      <c r="MW18" s="98" t="s">
        <v>371</v>
      </c>
      <c r="MX18" s="98" t="s">
        <v>372</v>
      </c>
      <c r="MY18" s="98" t="s">
        <v>373</v>
      </c>
      <c r="MZ18" s="98" t="s">
        <v>374</v>
      </c>
      <c r="NA18" s="98" t="s">
        <v>375</v>
      </c>
      <c r="NB18" s="98" t="s">
        <v>376</v>
      </c>
      <c r="NC18" s="98" t="s">
        <v>377</v>
      </c>
      <c r="ND18" s="98" t="s">
        <v>378</v>
      </c>
      <c r="NE18" s="98" t="s">
        <v>379</v>
      </c>
      <c r="NF18" s="98" t="s">
        <v>380</v>
      </c>
      <c r="NG18" s="98" t="s">
        <v>381</v>
      </c>
      <c r="NH18" s="98" t="s">
        <v>382</v>
      </c>
      <c r="NI18" s="98" t="s">
        <v>383</v>
      </c>
      <c r="NJ18" s="98" t="s">
        <v>384</v>
      </c>
      <c r="NK18" s="98" t="s">
        <v>385</v>
      </c>
      <c r="NL18" s="98" t="s">
        <v>386</v>
      </c>
      <c r="NM18" s="98" t="s">
        <v>387</v>
      </c>
      <c r="NN18" s="98" t="s">
        <v>388</v>
      </c>
      <c r="NO18" s="98" t="s">
        <v>389</v>
      </c>
      <c r="NP18" s="98" t="s">
        <v>390</v>
      </c>
      <c r="NQ18" s="98" t="s">
        <v>391</v>
      </c>
      <c r="NR18" s="98" t="s">
        <v>392</v>
      </c>
      <c r="NS18" s="98" t="s">
        <v>393</v>
      </c>
      <c r="NT18" s="98" t="s">
        <v>394</v>
      </c>
      <c r="NU18" s="98" t="s">
        <v>395</v>
      </c>
      <c r="NV18" s="98" t="s">
        <v>396</v>
      </c>
      <c r="NW18" s="98" t="s">
        <v>397</v>
      </c>
      <c r="NX18" s="98" t="s">
        <v>398</v>
      </c>
      <c r="NY18" s="98" t="s">
        <v>399</v>
      </c>
      <c r="NZ18" s="98" t="s">
        <v>400</v>
      </c>
      <c r="OA18" s="98" t="s">
        <v>401</v>
      </c>
      <c r="OB18" s="98" t="s">
        <v>402</v>
      </c>
      <c r="OC18" s="98" t="s">
        <v>403</v>
      </c>
      <c r="OD18" s="98" t="s">
        <v>404</v>
      </c>
      <c r="OE18" s="98" t="s">
        <v>405</v>
      </c>
      <c r="OF18" s="98" t="s">
        <v>406</v>
      </c>
      <c r="OG18" s="98" t="s">
        <v>407</v>
      </c>
      <c r="OH18" s="98" t="s">
        <v>408</v>
      </c>
      <c r="OI18" s="98" t="s">
        <v>409</v>
      </c>
      <c r="OJ18" s="98" t="s">
        <v>410</v>
      </c>
      <c r="OK18" s="98" t="s">
        <v>411</v>
      </c>
      <c r="OL18" s="98" t="s">
        <v>412</v>
      </c>
      <c r="OM18" s="98" t="s">
        <v>413</v>
      </c>
      <c r="ON18" s="98" t="s">
        <v>414</v>
      </c>
      <c r="OO18" s="98" t="s">
        <v>415</v>
      </c>
      <c r="OP18" s="98" t="s">
        <v>416</v>
      </c>
      <c r="OQ18" s="98" t="s">
        <v>417</v>
      </c>
      <c r="OR18" s="98" t="s">
        <v>418</v>
      </c>
      <c r="OS18" s="98" t="s">
        <v>419</v>
      </c>
      <c r="OT18" s="98" t="s">
        <v>420</v>
      </c>
      <c r="OU18" s="98" t="s">
        <v>421</v>
      </c>
      <c r="OV18" s="98" t="s">
        <v>422</v>
      </c>
      <c r="OW18" s="98" t="s">
        <v>423</v>
      </c>
      <c r="OX18" s="98" t="s">
        <v>424</v>
      </c>
      <c r="OY18" s="98" t="s">
        <v>425</v>
      </c>
      <c r="OZ18" s="98" t="s">
        <v>426</v>
      </c>
      <c r="PA18" s="98" t="s">
        <v>427</v>
      </c>
      <c r="PB18" s="98" t="s">
        <v>428</v>
      </c>
      <c r="PC18" s="98" t="s">
        <v>429</v>
      </c>
      <c r="PD18" s="98" t="s">
        <v>430</v>
      </c>
      <c r="PE18" s="98" t="s">
        <v>431</v>
      </c>
      <c r="PF18" s="98" t="s">
        <v>432</v>
      </c>
      <c r="PG18" s="98" t="s">
        <v>433</v>
      </c>
      <c r="PH18" s="98" t="s">
        <v>434</v>
      </c>
      <c r="PI18" s="98" t="s">
        <v>435</v>
      </c>
      <c r="PJ18" s="98" t="s">
        <v>436</v>
      </c>
      <c r="PK18" s="98" t="s">
        <v>437</v>
      </c>
      <c r="PL18" s="98" t="s">
        <v>438</v>
      </c>
      <c r="PM18" s="98" t="s">
        <v>439</v>
      </c>
      <c r="PN18" s="98" t="s">
        <v>440</v>
      </c>
      <c r="PO18" s="98" t="s">
        <v>441</v>
      </c>
      <c r="PP18" s="98" t="s">
        <v>442</v>
      </c>
      <c r="PQ18" s="98" t="s">
        <v>443</v>
      </c>
      <c r="PR18" s="98" t="s">
        <v>444</v>
      </c>
      <c r="PS18" s="98" t="s">
        <v>445</v>
      </c>
      <c r="PT18" s="98" t="s">
        <v>446</v>
      </c>
      <c r="PU18" s="98" t="s">
        <v>447</v>
      </c>
      <c r="PV18" s="98" t="s">
        <v>448</v>
      </c>
      <c r="PW18" s="98" t="s">
        <v>449</v>
      </c>
      <c r="PX18" s="98" t="s">
        <v>450</v>
      </c>
      <c r="PY18" s="98" t="s">
        <v>451</v>
      </c>
      <c r="PZ18" s="98" t="s">
        <v>452</v>
      </c>
      <c r="QA18" s="98" t="s">
        <v>453</v>
      </c>
      <c r="QB18" s="98" t="s">
        <v>454</v>
      </c>
      <c r="QC18" s="98" t="s">
        <v>455</v>
      </c>
      <c r="QD18" s="98" t="s">
        <v>456</v>
      </c>
      <c r="QE18" s="98" t="s">
        <v>457</v>
      </c>
      <c r="QF18" s="98" t="s">
        <v>458</v>
      </c>
      <c r="QG18" s="98" t="s">
        <v>459</v>
      </c>
      <c r="QH18" s="98" t="s">
        <v>460</v>
      </c>
      <c r="QI18" s="98" t="s">
        <v>461</v>
      </c>
      <c r="QJ18" s="98" t="s">
        <v>462</v>
      </c>
      <c r="QK18" s="98" t="s">
        <v>463</v>
      </c>
      <c r="QL18" s="98" t="s">
        <v>464</v>
      </c>
      <c r="QM18" s="98" t="s">
        <v>465</v>
      </c>
      <c r="QN18" s="98" t="s">
        <v>466</v>
      </c>
      <c r="QO18" s="98" t="s">
        <v>467</v>
      </c>
      <c r="QP18" s="98" t="s">
        <v>468</v>
      </c>
      <c r="QQ18" s="98" t="s">
        <v>469</v>
      </c>
      <c r="QR18" s="98" t="s">
        <v>470</v>
      </c>
      <c r="QS18" s="98" t="s">
        <v>471</v>
      </c>
      <c r="QT18" s="98" t="s">
        <v>472</v>
      </c>
      <c r="QU18" s="98" t="s">
        <v>473</v>
      </c>
      <c r="QV18" s="98" t="s">
        <v>474</v>
      </c>
      <c r="QW18" s="98" t="s">
        <v>475</v>
      </c>
      <c r="QX18" s="98" t="s">
        <v>476</v>
      </c>
      <c r="QY18" s="98" t="s">
        <v>477</v>
      </c>
      <c r="QZ18" s="98" t="s">
        <v>478</v>
      </c>
      <c r="RA18" s="98" t="s">
        <v>479</v>
      </c>
      <c r="RB18" s="98" t="s">
        <v>480</v>
      </c>
      <c r="RC18" s="98" t="s">
        <v>481</v>
      </c>
      <c r="RD18" s="98" t="s">
        <v>482</v>
      </c>
      <c r="RE18" s="98" t="s">
        <v>483</v>
      </c>
      <c r="RF18" s="98" t="s">
        <v>484</v>
      </c>
      <c r="RG18" s="98" t="s">
        <v>485</v>
      </c>
      <c r="RH18" s="98" t="s">
        <v>486</v>
      </c>
      <c r="RI18" s="98" t="s">
        <v>487</v>
      </c>
      <c r="RJ18" s="98" t="s">
        <v>488</v>
      </c>
      <c r="RK18" s="98" t="s">
        <v>489</v>
      </c>
      <c r="RL18" s="98" t="s">
        <v>490</v>
      </c>
      <c r="RM18" s="98" t="s">
        <v>491</v>
      </c>
      <c r="RN18" s="98" t="s">
        <v>492</v>
      </c>
      <c r="RO18" s="98" t="s">
        <v>493</v>
      </c>
      <c r="RP18" s="98" t="s">
        <v>494</v>
      </c>
      <c r="RQ18" s="98" t="s">
        <v>495</v>
      </c>
      <c r="RR18" s="98" t="s">
        <v>496</v>
      </c>
      <c r="RS18" s="98" t="s">
        <v>497</v>
      </c>
      <c r="RT18" s="98" t="s">
        <v>498</v>
      </c>
      <c r="RU18" s="98" t="s">
        <v>499</v>
      </c>
      <c r="RV18" s="98" t="s">
        <v>500</v>
      </c>
      <c r="RW18" s="98" t="s">
        <v>501</v>
      </c>
      <c r="RX18" s="98" t="s">
        <v>502</v>
      </c>
      <c r="RY18" s="98" t="s">
        <v>503</v>
      </c>
      <c r="RZ18" s="98" t="s">
        <v>504</v>
      </c>
      <c r="SA18" s="98" t="s">
        <v>505</v>
      </c>
      <c r="SB18" s="98" t="s">
        <v>506</v>
      </c>
      <c r="SC18" s="98" t="s">
        <v>507</v>
      </c>
      <c r="SD18" s="98" t="s">
        <v>508</v>
      </c>
      <c r="SE18" s="98" t="s">
        <v>509</v>
      </c>
      <c r="SF18" s="98" t="s">
        <v>510</v>
      </c>
      <c r="SG18" s="98" t="s">
        <v>511</v>
      </c>
      <c r="SH18" s="98" t="s">
        <v>512</v>
      </c>
      <c r="SI18" s="98" t="s">
        <v>513</v>
      </c>
      <c r="SJ18" s="98" t="s">
        <v>514</v>
      </c>
      <c r="SK18" s="6"/>
    </row>
    <row r="19" ht="14.25" customHeight="1">
      <c r="A19" s="68"/>
      <c r="B19" s="101" t="s">
        <v>4</v>
      </c>
      <c r="C19" s="102"/>
      <c r="D19" s="103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6"/>
    </row>
    <row r="20" ht="14.25" customHeight="1">
      <c r="A20" s="72" t="s">
        <v>575</v>
      </c>
      <c r="B20" s="104" t="s">
        <v>581</v>
      </c>
      <c r="C20" s="73"/>
      <c r="D20" s="74">
        <f t="shared" ref="D20:D27" si="3">C20+SUM(E20:SJ20)</f>
        <v>-3599.15</v>
      </c>
      <c r="E20" s="38"/>
      <c r="F20" s="38"/>
      <c r="G20" s="87">
        <v>-950.0</v>
      </c>
      <c r="H20" s="38"/>
      <c r="I20" s="38"/>
      <c r="J20" s="38"/>
      <c r="K20" s="38"/>
      <c r="L20" s="38"/>
      <c r="M20" s="87">
        <v>-651.15</v>
      </c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87">
        <v>-1000.0</v>
      </c>
      <c r="Y20" s="38"/>
      <c r="Z20" s="38"/>
      <c r="AA20" s="38"/>
      <c r="AB20" s="38"/>
      <c r="AC20" s="38"/>
      <c r="AD20" s="38"/>
      <c r="AE20" s="87">
        <v>-150.0</v>
      </c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87">
        <v>-400.0</v>
      </c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87">
        <v>-300.0</v>
      </c>
      <c r="BM20" s="87">
        <v>-148.0</v>
      </c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75"/>
      <c r="SK20" s="6"/>
    </row>
    <row r="21" ht="14.25" customHeight="1">
      <c r="A21" s="80" t="s">
        <v>575</v>
      </c>
      <c r="B21" s="105" t="s">
        <v>582</v>
      </c>
      <c r="C21" s="81"/>
      <c r="D21" s="74">
        <f t="shared" si="3"/>
        <v>-3350</v>
      </c>
      <c r="E21" s="31"/>
      <c r="F21" s="83">
        <v>-600.0</v>
      </c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83">
        <v>-200.0</v>
      </c>
      <c r="W21" s="31"/>
      <c r="X21" s="31"/>
      <c r="Y21" s="31"/>
      <c r="Z21" s="31"/>
      <c r="AA21" s="31"/>
      <c r="AB21" s="31"/>
      <c r="AC21" s="31"/>
      <c r="AD21" s="83">
        <v>-1000.0</v>
      </c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83">
        <v>-1050.0</v>
      </c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83">
        <v>-300.0</v>
      </c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83">
        <v>-200.0</v>
      </c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/>
      <c r="FE21" s="31"/>
      <c r="FF21" s="31"/>
      <c r="FG21" s="31"/>
      <c r="FH21" s="31"/>
      <c r="FI21" s="31"/>
      <c r="FJ21" s="31"/>
      <c r="FK21" s="31"/>
      <c r="FL21" s="31"/>
      <c r="FM21" s="31"/>
      <c r="FN21" s="31"/>
      <c r="FO21" s="31"/>
      <c r="FP21" s="31"/>
      <c r="FQ21" s="31"/>
      <c r="FR21" s="31"/>
      <c r="FS21" s="31"/>
      <c r="FT21" s="31"/>
      <c r="FU21" s="31"/>
      <c r="FV21" s="31"/>
      <c r="FW21" s="31"/>
      <c r="FX21" s="31"/>
      <c r="FY21" s="31"/>
      <c r="FZ21" s="31"/>
      <c r="GA21" s="31"/>
      <c r="GB21" s="31"/>
      <c r="GC21" s="31"/>
      <c r="GD21" s="31"/>
      <c r="GE21" s="31"/>
      <c r="GF21" s="31"/>
      <c r="GG21" s="31"/>
      <c r="GH21" s="31"/>
      <c r="GI21" s="31"/>
      <c r="GJ21" s="31"/>
      <c r="GK21" s="31"/>
      <c r="GL21" s="31"/>
      <c r="GM21" s="31"/>
      <c r="GN21" s="31"/>
      <c r="GO21" s="31"/>
      <c r="GP21" s="31"/>
      <c r="GQ21" s="31"/>
      <c r="GR21" s="31"/>
      <c r="GS21" s="31"/>
      <c r="GT21" s="31"/>
      <c r="GU21" s="31"/>
      <c r="GV21" s="31"/>
      <c r="GW21" s="31"/>
      <c r="GX21" s="31"/>
      <c r="GY21" s="31"/>
      <c r="GZ21" s="31"/>
      <c r="HA21" s="31"/>
      <c r="HB21" s="31"/>
      <c r="HC21" s="31"/>
      <c r="HD21" s="31"/>
      <c r="HE21" s="31"/>
      <c r="HF21" s="31"/>
      <c r="HG21" s="31"/>
      <c r="HH21" s="31"/>
      <c r="HI21" s="31"/>
      <c r="HJ21" s="31"/>
      <c r="HK21" s="31"/>
      <c r="HL21" s="31"/>
      <c r="HM21" s="31"/>
      <c r="HN21" s="31"/>
      <c r="HO21" s="31"/>
      <c r="HP21" s="31"/>
      <c r="HQ21" s="31"/>
      <c r="HR21" s="31"/>
      <c r="HS21" s="31"/>
      <c r="HT21" s="31"/>
      <c r="HU21" s="31"/>
      <c r="HV21" s="31"/>
      <c r="HW21" s="31"/>
      <c r="HX21" s="31"/>
      <c r="HY21" s="31"/>
      <c r="HZ21" s="31"/>
      <c r="IA21" s="31"/>
      <c r="IB21" s="31"/>
      <c r="IC21" s="31"/>
      <c r="ID21" s="31"/>
      <c r="IE21" s="31"/>
      <c r="IF21" s="31"/>
      <c r="IG21" s="31"/>
      <c r="IH21" s="31"/>
      <c r="II21" s="31"/>
      <c r="IJ21" s="31"/>
      <c r="IK21" s="31"/>
      <c r="IL21" s="31"/>
      <c r="IM21" s="31"/>
      <c r="IN21" s="31"/>
      <c r="IO21" s="31"/>
      <c r="IP21" s="31"/>
      <c r="IQ21" s="31"/>
      <c r="IR21" s="31"/>
      <c r="IS21" s="31"/>
      <c r="IT21" s="31"/>
      <c r="IU21" s="31"/>
      <c r="IV21" s="31"/>
      <c r="IW21" s="31"/>
      <c r="IX21" s="31"/>
      <c r="IY21" s="31"/>
      <c r="IZ21" s="31"/>
      <c r="JA21" s="31"/>
      <c r="JB21" s="31"/>
      <c r="JC21" s="31"/>
      <c r="JD21" s="31"/>
      <c r="JE21" s="31"/>
      <c r="JF21" s="31"/>
      <c r="JG21" s="31"/>
      <c r="JH21" s="31"/>
      <c r="JI21" s="31"/>
      <c r="JJ21" s="31"/>
      <c r="JK21" s="31"/>
      <c r="JL21" s="31"/>
      <c r="JM21" s="31"/>
      <c r="JN21" s="31"/>
      <c r="JO21" s="31"/>
      <c r="JP21" s="31"/>
      <c r="JQ21" s="31"/>
      <c r="JR21" s="31"/>
      <c r="JS21" s="31"/>
      <c r="JT21" s="31"/>
      <c r="JU21" s="31"/>
      <c r="JV21" s="31"/>
      <c r="JW21" s="31"/>
      <c r="JX21" s="31"/>
      <c r="JY21" s="31"/>
      <c r="JZ21" s="31"/>
      <c r="KA21" s="31"/>
      <c r="KB21" s="31"/>
      <c r="KC21" s="31"/>
      <c r="KD21" s="31"/>
      <c r="KE21" s="31"/>
      <c r="KF21" s="31"/>
      <c r="KG21" s="31"/>
      <c r="KH21" s="31"/>
      <c r="KI21" s="31"/>
      <c r="KJ21" s="31"/>
      <c r="KK21" s="31"/>
      <c r="KL21" s="31"/>
      <c r="KM21" s="31"/>
      <c r="KN21" s="31"/>
      <c r="KO21" s="31"/>
      <c r="KP21" s="31"/>
      <c r="KQ21" s="31"/>
      <c r="KR21" s="31"/>
      <c r="KS21" s="31"/>
      <c r="KT21" s="31"/>
      <c r="KU21" s="31"/>
      <c r="KV21" s="31"/>
      <c r="KW21" s="31"/>
      <c r="KX21" s="31"/>
      <c r="KY21" s="31"/>
      <c r="KZ21" s="31"/>
      <c r="LA21" s="31"/>
      <c r="LB21" s="31"/>
      <c r="LC21" s="31"/>
      <c r="LD21" s="31"/>
      <c r="LE21" s="31"/>
      <c r="LF21" s="31"/>
      <c r="LG21" s="31"/>
      <c r="LH21" s="31"/>
      <c r="LI21" s="31"/>
      <c r="LJ21" s="31"/>
      <c r="LK21" s="31"/>
      <c r="LL21" s="31"/>
      <c r="LM21" s="31"/>
      <c r="LN21" s="31"/>
      <c r="LO21" s="31"/>
      <c r="LP21" s="31"/>
      <c r="LQ21" s="31"/>
      <c r="LR21" s="31"/>
      <c r="LS21" s="31"/>
      <c r="LT21" s="31"/>
      <c r="LU21" s="31"/>
      <c r="LV21" s="31"/>
      <c r="LW21" s="31"/>
      <c r="LX21" s="31"/>
      <c r="LY21" s="31"/>
      <c r="LZ21" s="31"/>
      <c r="MA21" s="31"/>
      <c r="MB21" s="31"/>
      <c r="MC21" s="31"/>
      <c r="MD21" s="31"/>
      <c r="ME21" s="31"/>
      <c r="MF21" s="31"/>
      <c r="MG21" s="31"/>
      <c r="MH21" s="31"/>
      <c r="MI21" s="31"/>
      <c r="MJ21" s="31"/>
      <c r="MK21" s="31"/>
      <c r="ML21" s="31"/>
      <c r="MM21" s="31"/>
      <c r="MN21" s="31"/>
      <c r="MO21" s="31"/>
      <c r="MP21" s="31"/>
      <c r="MQ21" s="31"/>
      <c r="MR21" s="31"/>
      <c r="MS21" s="31"/>
      <c r="MT21" s="31"/>
      <c r="MU21" s="31"/>
      <c r="MV21" s="31"/>
      <c r="MW21" s="31"/>
      <c r="MX21" s="31"/>
      <c r="MY21" s="31"/>
      <c r="MZ21" s="31"/>
      <c r="NA21" s="31"/>
      <c r="NB21" s="31"/>
      <c r="NC21" s="31"/>
      <c r="ND21" s="31"/>
      <c r="NE21" s="31"/>
      <c r="NF21" s="31"/>
      <c r="NG21" s="31"/>
      <c r="NH21" s="31"/>
      <c r="NI21" s="31"/>
      <c r="NJ21" s="31"/>
      <c r="NK21" s="31"/>
      <c r="NL21" s="31"/>
      <c r="NM21" s="31"/>
      <c r="NN21" s="31"/>
      <c r="NO21" s="31"/>
      <c r="NP21" s="31"/>
      <c r="NQ21" s="31"/>
      <c r="NR21" s="31"/>
      <c r="NS21" s="31"/>
      <c r="NT21" s="31"/>
      <c r="NU21" s="31"/>
      <c r="NV21" s="31"/>
      <c r="NW21" s="31"/>
      <c r="NX21" s="31"/>
      <c r="NY21" s="31"/>
      <c r="NZ21" s="31"/>
      <c r="OA21" s="31"/>
      <c r="OB21" s="31"/>
      <c r="OC21" s="31"/>
      <c r="OD21" s="31"/>
      <c r="OE21" s="31"/>
      <c r="OF21" s="31"/>
      <c r="OG21" s="31"/>
      <c r="OH21" s="31"/>
      <c r="OI21" s="31"/>
      <c r="OJ21" s="31"/>
      <c r="OK21" s="31"/>
      <c r="OL21" s="31"/>
      <c r="OM21" s="31"/>
      <c r="ON21" s="31"/>
      <c r="OO21" s="31"/>
      <c r="OP21" s="31"/>
      <c r="OQ21" s="31"/>
      <c r="OR21" s="31"/>
      <c r="OS21" s="31"/>
      <c r="OT21" s="31"/>
      <c r="OU21" s="31"/>
      <c r="OV21" s="31"/>
      <c r="OW21" s="31"/>
      <c r="OX21" s="31"/>
      <c r="OY21" s="31"/>
      <c r="OZ21" s="31"/>
      <c r="PA21" s="31"/>
      <c r="PB21" s="31"/>
      <c r="PC21" s="31"/>
      <c r="PD21" s="31"/>
      <c r="PE21" s="31"/>
      <c r="PF21" s="31"/>
      <c r="PG21" s="31"/>
      <c r="PH21" s="31"/>
      <c r="PI21" s="31"/>
      <c r="PJ21" s="31"/>
      <c r="PK21" s="31"/>
      <c r="PL21" s="31"/>
      <c r="PM21" s="31"/>
      <c r="PN21" s="31"/>
      <c r="PO21" s="31"/>
      <c r="PP21" s="31"/>
      <c r="PQ21" s="31"/>
      <c r="PR21" s="31"/>
      <c r="PS21" s="31"/>
      <c r="PT21" s="31"/>
      <c r="PU21" s="31"/>
      <c r="PV21" s="31"/>
      <c r="PW21" s="31"/>
      <c r="PX21" s="31"/>
      <c r="PY21" s="31"/>
      <c r="PZ21" s="31"/>
      <c r="QA21" s="31"/>
      <c r="QB21" s="31"/>
      <c r="QC21" s="31"/>
      <c r="QD21" s="31"/>
      <c r="QE21" s="31"/>
      <c r="QF21" s="31"/>
      <c r="QG21" s="31"/>
      <c r="QH21" s="31"/>
      <c r="QI21" s="31"/>
      <c r="QJ21" s="31"/>
      <c r="QK21" s="31"/>
      <c r="QL21" s="31"/>
      <c r="QM21" s="31"/>
      <c r="QN21" s="31"/>
      <c r="QO21" s="31"/>
      <c r="QP21" s="31"/>
      <c r="QQ21" s="31"/>
      <c r="QR21" s="31"/>
      <c r="QS21" s="31"/>
      <c r="QT21" s="31"/>
      <c r="QU21" s="31"/>
      <c r="QV21" s="31"/>
      <c r="QW21" s="31"/>
      <c r="QX21" s="31"/>
      <c r="QY21" s="31"/>
      <c r="QZ21" s="31"/>
      <c r="RA21" s="31"/>
      <c r="RB21" s="31"/>
      <c r="RC21" s="31"/>
      <c r="RD21" s="31"/>
      <c r="RE21" s="31"/>
      <c r="RF21" s="31"/>
      <c r="RG21" s="31"/>
      <c r="RH21" s="31"/>
      <c r="RI21" s="31"/>
      <c r="RJ21" s="31"/>
      <c r="RK21" s="31"/>
      <c r="RL21" s="31"/>
      <c r="RM21" s="31"/>
      <c r="RN21" s="31"/>
      <c r="RO21" s="31"/>
      <c r="RP21" s="31"/>
      <c r="RQ21" s="31"/>
      <c r="RR21" s="31"/>
      <c r="RS21" s="31"/>
      <c r="RT21" s="31"/>
      <c r="RU21" s="31"/>
      <c r="RV21" s="31"/>
      <c r="RW21" s="31"/>
      <c r="RX21" s="31"/>
      <c r="RY21" s="31"/>
      <c r="RZ21" s="31"/>
      <c r="SA21" s="31"/>
      <c r="SB21" s="31"/>
      <c r="SC21" s="31"/>
      <c r="SD21" s="31"/>
      <c r="SE21" s="31"/>
      <c r="SF21" s="31"/>
      <c r="SG21" s="31"/>
      <c r="SH21" s="31"/>
      <c r="SI21" s="31"/>
      <c r="SJ21" s="82"/>
      <c r="SK21" s="6"/>
    </row>
    <row r="22" ht="14.25" customHeight="1">
      <c r="A22" s="80" t="s">
        <v>575</v>
      </c>
      <c r="B22" s="105" t="s">
        <v>583</v>
      </c>
      <c r="C22" s="81"/>
      <c r="D22" s="74">
        <f t="shared" si="3"/>
        <v>-3050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83">
        <v>-900.0</v>
      </c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83">
        <v>-2150.0</v>
      </c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  <c r="HI22" s="31"/>
      <c r="HJ22" s="31"/>
      <c r="HK22" s="31"/>
      <c r="HL22" s="31"/>
      <c r="HM22" s="31"/>
      <c r="HN22" s="31"/>
      <c r="HO22" s="31"/>
      <c r="HP22" s="31"/>
      <c r="HQ22" s="31"/>
      <c r="HR22" s="31"/>
      <c r="HS22" s="31"/>
      <c r="HT22" s="31"/>
      <c r="HU22" s="31"/>
      <c r="HV22" s="31"/>
      <c r="HW22" s="31"/>
      <c r="HX22" s="31"/>
      <c r="HY22" s="31"/>
      <c r="HZ22" s="31"/>
      <c r="IA22" s="31"/>
      <c r="IB22" s="31"/>
      <c r="IC22" s="31"/>
      <c r="ID22" s="31"/>
      <c r="IE22" s="31"/>
      <c r="IF22" s="31"/>
      <c r="IG22" s="31"/>
      <c r="IH22" s="31"/>
      <c r="II22" s="31"/>
      <c r="IJ22" s="31"/>
      <c r="IK22" s="31"/>
      <c r="IL22" s="31"/>
      <c r="IM22" s="31"/>
      <c r="IN22" s="31"/>
      <c r="IO22" s="31"/>
      <c r="IP22" s="31"/>
      <c r="IQ22" s="31"/>
      <c r="IR22" s="31"/>
      <c r="IS22" s="31"/>
      <c r="IT22" s="31"/>
      <c r="IU22" s="31"/>
      <c r="IV22" s="31"/>
      <c r="IW22" s="31"/>
      <c r="IX22" s="31"/>
      <c r="IY22" s="31"/>
      <c r="IZ22" s="31"/>
      <c r="JA22" s="31"/>
      <c r="JB22" s="31"/>
      <c r="JC22" s="31"/>
      <c r="JD22" s="31"/>
      <c r="JE22" s="31"/>
      <c r="JF22" s="31"/>
      <c r="JG22" s="31"/>
      <c r="JH22" s="31"/>
      <c r="JI22" s="31"/>
      <c r="JJ22" s="31"/>
      <c r="JK22" s="31"/>
      <c r="JL22" s="31"/>
      <c r="JM22" s="31"/>
      <c r="JN22" s="31"/>
      <c r="JO22" s="31"/>
      <c r="JP22" s="31"/>
      <c r="JQ22" s="31"/>
      <c r="JR22" s="31"/>
      <c r="JS22" s="31"/>
      <c r="JT22" s="31"/>
      <c r="JU22" s="31"/>
      <c r="JV22" s="31"/>
      <c r="JW22" s="31"/>
      <c r="JX22" s="31"/>
      <c r="JY22" s="31"/>
      <c r="JZ22" s="31"/>
      <c r="KA22" s="31"/>
      <c r="KB22" s="31"/>
      <c r="KC22" s="31"/>
      <c r="KD22" s="31"/>
      <c r="KE22" s="31"/>
      <c r="KF22" s="31"/>
      <c r="KG22" s="31"/>
      <c r="KH22" s="31"/>
      <c r="KI22" s="31"/>
      <c r="KJ22" s="31"/>
      <c r="KK22" s="31"/>
      <c r="KL22" s="31"/>
      <c r="KM22" s="31"/>
      <c r="KN22" s="31"/>
      <c r="KO22" s="31"/>
      <c r="KP22" s="31"/>
      <c r="KQ22" s="31"/>
      <c r="KR22" s="31"/>
      <c r="KS22" s="31"/>
      <c r="KT22" s="31"/>
      <c r="KU22" s="31"/>
      <c r="KV22" s="31"/>
      <c r="KW22" s="31"/>
      <c r="KX22" s="31"/>
      <c r="KY22" s="31"/>
      <c r="KZ22" s="31"/>
      <c r="LA22" s="31"/>
      <c r="LB22" s="31"/>
      <c r="LC22" s="31"/>
      <c r="LD22" s="31"/>
      <c r="LE22" s="31"/>
      <c r="LF22" s="31"/>
      <c r="LG22" s="31"/>
      <c r="LH22" s="31"/>
      <c r="LI22" s="31"/>
      <c r="LJ22" s="31"/>
      <c r="LK22" s="31"/>
      <c r="LL22" s="31"/>
      <c r="LM22" s="31"/>
      <c r="LN22" s="31"/>
      <c r="LO22" s="31"/>
      <c r="LP22" s="31"/>
      <c r="LQ22" s="31"/>
      <c r="LR22" s="31"/>
      <c r="LS22" s="31"/>
      <c r="LT22" s="31"/>
      <c r="LU22" s="31"/>
      <c r="LV22" s="31"/>
      <c r="LW22" s="31"/>
      <c r="LX22" s="31"/>
      <c r="LY22" s="31"/>
      <c r="LZ22" s="31"/>
      <c r="MA22" s="31"/>
      <c r="MB22" s="31"/>
      <c r="MC22" s="31"/>
      <c r="MD22" s="31"/>
      <c r="ME22" s="31"/>
      <c r="MF22" s="31"/>
      <c r="MG22" s="31"/>
      <c r="MH22" s="31"/>
      <c r="MI22" s="31"/>
      <c r="MJ22" s="31"/>
      <c r="MK22" s="31"/>
      <c r="ML22" s="31"/>
      <c r="MM22" s="31"/>
      <c r="MN22" s="31"/>
      <c r="MO22" s="31"/>
      <c r="MP22" s="31"/>
      <c r="MQ22" s="31"/>
      <c r="MR22" s="31"/>
      <c r="MS22" s="31"/>
      <c r="MT22" s="31"/>
      <c r="MU22" s="31"/>
      <c r="MV22" s="31"/>
      <c r="MW22" s="31"/>
      <c r="MX22" s="31"/>
      <c r="MY22" s="31"/>
      <c r="MZ22" s="31"/>
      <c r="NA22" s="31"/>
      <c r="NB22" s="31"/>
      <c r="NC22" s="31"/>
      <c r="ND22" s="31"/>
      <c r="NE22" s="31"/>
      <c r="NF22" s="31"/>
      <c r="NG22" s="31"/>
      <c r="NH22" s="31"/>
      <c r="NI22" s="31"/>
      <c r="NJ22" s="31"/>
      <c r="NK22" s="31"/>
      <c r="NL22" s="31"/>
      <c r="NM22" s="31"/>
      <c r="NN22" s="31"/>
      <c r="NO22" s="31"/>
      <c r="NP22" s="31"/>
      <c r="NQ22" s="31"/>
      <c r="NR22" s="31"/>
      <c r="NS22" s="31"/>
      <c r="NT22" s="31"/>
      <c r="NU22" s="31"/>
      <c r="NV22" s="31"/>
      <c r="NW22" s="31"/>
      <c r="NX22" s="31"/>
      <c r="NY22" s="31"/>
      <c r="NZ22" s="31"/>
      <c r="OA22" s="31"/>
      <c r="OB22" s="31"/>
      <c r="OC22" s="31"/>
      <c r="OD22" s="31"/>
      <c r="OE22" s="31"/>
      <c r="OF22" s="31"/>
      <c r="OG22" s="31"/>
      <c r="OH22" s="31"/>
      <c r="OI22" s="31"/>
      <c r="OJ22" s="31"/>
      <c r="OK22" s="31"/>
      <c r="OL22" s="31"/>
      <c r="OM22" s="31"/>
      <c r="ON22" s="31"/>
      <c r="OO22" s="31"/>
      <c r="OP22" s="31"/>
      <c r="OQ22" s="31"/>
      <c r="OR22" s="31"/>
      <c r="OS22" s="31"/>
      <c r="OT22" s="31"/>
      <c r="OU22" s="31"/>
      <c r="OV22" s="31"/>
      <c r="OW22" s="31"/>
      <c r="OX22" s="31"/>
      <c r="OY22" s="31"/>
      <c r="OZ22" s="31"/>
      <c r="PA22" s="31"/>
      <c r="PB22" s="31"/>
      <c r="PC22" s="31"/>
      <c r="PD22" s="31"/>
      <c r="PE22" s="31"/>
      <c r="PF22" s="31"/>
      <c r="PG22" s="31"/>
      <c r="PH22" s="31"/>
      <c r="PI22" s="31"/>
      <c r="PJ22" s="31"/>
      <c r="PK22" s="31"/>
      <c r="PL22" s="31"/>
      <c r="PM22" s="31"/>
      <c r="PN22" s="31"/>
      <c r="PO22" s="31"/>
      <c r="PP22" s="31"/>
      <c r="PQ22" s="31"/>
      <c r="PR22" s="31"/>
      <c r="PS22" s="31"/>
      <c r="PT22" s="31"/>
      <c r="PU22" s="31"/>
      <c r="PV22" s="31"/>
      <c r="PW22" s="31"/>
      <c r="PX22" s="31"/>
      <c r="PY22" s="31"/>
      <c r="PZ22" s="31"/>
      <c r="QA22" s="31"/>
      <c r="QB22" s="31"/>
      <c r="QC22" s="31"/>
      <c r="QD22" s="31"/>
      <c r="QE22" s="31"/>
      <c r="QF22" s="31"/>
      <c r="QG22" s="31"/>
      <c r="QH22" s="31"/>
      <c r="QI22" s="31"/>
      <c r="QJ22" s="31"/>
      <c r="QK22" s="31"/>
      <c r="QL22" s="31"/>
      <c r="QM22" s="31"/>
      <c r="QN22" s="31"/>
      <c r="QO22" s="31"/>
      <c r="QP22" s="31"/>
      <c r="QQ22" s="31"/>
      <c r="QR22" s="31"/>
      <c r="QS22" s="31"/>
      <c r="QT22" s="31"/>
      <c r="QU22" s="31"/>
      <c r="QV22" s="31"/>
      <c r="QW22" s="31"/>
      <c r="QX22" s="31"/>
      <c r="QY22" s="31"/>
      <c r="QZ22" s="31"/>
      <c r="RA22" s="31"/>
      <c r="RB22" s="31"/>
      <c r="RC22" s="31"/>
      <c r="RD22" s="31"/>
      <c r="RE22" s="31"/>
      <c r="RF22" s="31"/>
      <c r="RG22" s="31"/>
      <c r="RH22" s="31"/>
      <c r="RI22" s="31"/>
      <c r="RJ22" s="31"/>
      <c r="RK22" s="31"/>
      <c r="RL22" s="31"/>
      <c r="RM22" s="31"/>
      <c r="RN22" s="31"/>
      <c r="RO22" s="31"/>
      <c r="RP22" s="31"/>
      <c r="RQ22" s="31"/>
      <c r="RR22" s="31"/>
      <c r="RS22" s="31"/>
      <c r="RT22" s="31"/>
      <c r="RU22" s="31"/>
      <c r="RV22" s="31"/>
      <c r="RW22" s="31"/>
      <c r="RX22" s="31"/>
      <c r="RY22" s="31"/>
      <c r="RZ22" s="31"/>
      <c r="SA22" s="31"/>
      <c r="SB22" s="31"/>
      <c r="SC22" s="31"/>
      <c r="SD22" s="31"/>
      <c r="SE22" s="31"/>
      <c r="SF22" s="31"/>
      <c r="SG22" s="31"/>
      <c r="SH22" s="31"/>
      <c r="SI22" s="31"/>
      <c r="SJ22" s="82"/>
      <c r="SK22" s="6"/>
    </row>
    <row r="23" ht="14.25" customHeight="1">
      <c r="A23" s="80" t="s">
        <v>575</v>
      </c>
      <c r="B23" s="106" t="s">
        <v>584</v>
      </c>
      <c r="C23" s="81"/>
      <c r="D23" s="74">
        <f t="shared" si="3"/>
        <v>-88686.09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83">
        <v>-88686.09</v>
      </c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  <c r="HI23" s="31"/>
      <c r="HJ23" s="31"/>
      <c r="HK23" s="31"/>
      <c r="HL23" s="31"/>
      <c r="HM23" s="31"/>
      <c r="HN23" s="31"/>
      <c r="HO23" s="31"/>
      <c r="HP23" s="31"/>
      <c r="HQ23" s="31"/>
      <c r="HR23" s="31"/>
      <c r="HS23" s="31"/>
      <c r="HT23" s="31"/>
      <c r="HU23" s="31"/>
      <c r="HV23" s="31"/>
      <c r="HW23" s="31"/>
      <c r="HX23" s="31"/>
      <c r="HY23" s="31"/>
      <c r="HZ23" s="31"/>
      <c r="IA23" s="31"/>
      <c r="IB23" s="31"/>
      <c r="IC23" s="31"/>
      <c r="ID23" s="31"/>
      <c r="IE23" s="31"/>
      <c r="IF23" s="31"/>
      <c r="IG23" s="31"/>
      <c r="IH23" s="31"/>
      <c r="II23" s="31"/>
      <c r="IJ23" s="31"/>
      <c r="IK23" s="31"/>
      <c r="IL23" s="31"/>
      <c r="IM23" s="31"/>
      <c r="IN23" s="31"/>
      <c r="IO23" s="31"/>
      <c r="IP23" s="31"/>
      <c r="IQ23" s="31"/>
      <c r="IR23" s="31"/>
      <c r="IS23" s="31"/>
      <c r="IT23" s="31"/>
      <c r="IU23" s="31"/>
      <c r="IV23" s="31"/>
      <c r="IW23" s="31"/>
      <c r="IX23" s="31"/>
      <c r="IY23" s="31"/>
      <c r="IZ23" s="31"/>
      <c r="JA23" s="31"/>
      <c r="JB23" s="31"/>
      <c r="JC23" s="31"/>
      <c r="JD23" s="31"/>
      <c r="JE23" s="31"/>
      <c r="JF23" s="31"/>
      <c r="JG23" s="31"/>
      <c r="JH23" s="31"/>
      <c r="JI23" s="31"/>
      <c r="JJ23" s="31"/>
      <c r="JK23" s="31"/>
      <c r="JL23" s="31"/>
      <c r="JM23" s="31"/>
      <c r="JN23" s="31"/>
      <c r="JO23" s="31"/>
      <c r="JP23" s="31"/>
      <c r="JQ23" s="31"/>
      <c r="JR23" s="31"/>
      <c r="JS23" s="31"/>
      <c r="JT23" s="31"/>
      <c r="JU23" s="31"/>
      <c r="JV23" s="31"/>
      <c r="JW23" s="31"/>
      <c r="JX23" s="31"/>
      <c r="JY23" s="31"/>
      <c r="JZ23" s="31"/>
      <c r="KA23" s="31"/>
      <c r="KB23" s="31"/>
      <c r="KC23" s="31"/>
      <c r="KD23" s="31"/>
      <c r="KE23" s="31"/>
      <c r="KF23" s="31"/>
      <c r="KG23" s="31"/>
      <c r="KH23" s="31"/>
      <c r="KI23" s="31"/>
      <c r="KJ23" s="31"/>
      <c r="KK23" s="31"/>
      <c r="KL23" s="31"/>
      <c r="KM23" s="31"/>
      <c r="KN23" s="31"/>
      <c r="KO23" s="31"/>
      <c r="KP23" s="31"/>
      <c r="KQ23" s="31"/>
      <c r="KR23" s="31"/>
      <c r="KS23" s="31"/>
      <c r="KT23" s="31"/>
      <c r="KU23" s="31"/>
      <c r="KV23" s="31"/>
      <c r="KW23" s="31"/>
      <c r="KX23" s="31"/>
      <c r="KY23" s="31"/>
      <c r="KZ23" s="31"/>
      <c r="LA23" s="31"/>
      <c r="LB23" s="31"/>
      <c r="LC23" s="31"/>
      <c r="LD23" s="31"/>
      <c r="LE23" s="31"/>
      <c r="LF23" s="31"/>
      <c r="LG23" s="31"/>
      <c r="LH23" s="31"/>
      <c r="LI23" s="31"/>
      <c r="LJ23" s="31"/>
      <c r="LK23" s="31"/>
      <c r="LL23" s="31"/>
      <c r="LM23" s="31"/>
      <c r="LN23" s="31"/>
      <c r="LO23" s="31"/>
      <c r="LP23" s="31"/>
      <c r="LQ23" s="31"/>
      <c r="LR23" s="31"/>
      <c r="LS23" s="31"/>
      <c r="LT23" s="31"/>
      <c r="LU23" s="31"/>
      <c r="LV23" s="31"/>
      <c r="LW23" s="31"/>
      <c r="LX23" s="31"/>
      <c r="LY23" s="31"/>
      <c r="LZ23" s="31"/>
      <c r="MA23" s="31"/>
      <c r="MB23" s="31"/>
      <c r="MC23" s="31"/>
      <c r="MD23" s="31"/>
      <c r="ME23" s="31"/>
      <c r="MF23" s="31"/>
      <c r="MG23" s="31"/>
      <c r="MH23" s="31"/>
      <c r="MI23" s="31"/>
      <c r="MJ23" s="31"/>
      <c r="MK23" s="31"/>
      <c r="ML23" s="31"/>
      <c r="MM23" s="31"/>
      <c r="MN23" s="31"/>
      <c r="MO23" s="31"/>
      <c r="MP23" s="31"/>
      <c r="MQ23" s="31"/>
      <c r="MR23" s="31"/>
      <c r="MS23" s="31"/>
      <c r="MT23" s="31"/>
      <c r="MU23" s="31"/>
      <c r="MV23" s="31"/>
      <c r="MW23" s="31"/>
      <c r="MX23" s="31"/>
      <c r="MY23" s="31"/>
      <c r="MZ23" s="31"/>
      <c r="NA23" s="31"/>
      <c r="NB23" s="31"/>
      <c r="NC23" s="31"/>
      <c r="ND23" s="31"/>
      <c r="NE23" s="31"/>
      <c r="NF23" s="31"/>
      <c r="NG23" s="31"/>
      <c r="NH23" s="31"/>
      <c r="NI23" s="31"/>
      <c r="NJ23" s="31"/>
      <c r="NK23" s="31"/>
      <c r="NL23" s="31"/>
      <c r="NM23" s="31"/>
      <c r="NN23" s="31"/>
      <c r="NO23" s="31"/>
      <c r="NP23" s="31"/>
      <c r="NQ23" s="31"/>
      <c r="NR23" s="31"/>
      <c r="NS23" s="31"/>
      <c r="NT23" s="31"/>
      <c r="NU23" s="31"/>
      <c r="NV23" s="31"/>
      <c r="NW23" s="31"/>
      <c r="NX23" s="31"/>
      <c r="NY23" s="31"/>
      <c r="NZ23" s="31"/>
      <c r="OA23" s="31"/>
      <c r="OB23" s="31"/>
      <c r="OC23" s="31"/>
      <c r="OD23" s="31"/>
      <c r="OE23" s="31"/>
      <c r="OF23" s="31"/>
      <c r="OG23" s="31"/>
      <c r="OH23" s="31"/>
      <c r="OI23" s="31"/>
      <c r="OJ23" s="31"/>
      <c r="OK23" s="31"/>
      <c r="OL23" s="31"/>
      <c r="OM23" s="31"/>
      <c r="ON23" s="31"/>
      <c r="OO23" s="31"/>
      <c r="OP23" s="31"/>
      <c r="OQ23" s="31"/>
      <c r="OR23" s="31"/>
      <c r="OS23" s="31"/>
      <c r="OT23" s="31"/>
      <c r="OU23" s="31"/>
      <c r="OV23" s="31"/>
      <c r="OW23" s="31"/>
      <c r="OX23" s="31"/>
      <c r="OY23" s="31"/>
      <c r="OZ23" s="31"/>
      <c r="PA23" s="31"/>
      <c r="PB23" s="31"/>
      <c r="PC23" s="31"/>
      <c r="PD23" s="31"/>
      <c r="PE23" s="31"/>
      <c r="PF23" s="31"/>
      <c r="PG23" s="31"/>
      <c r="PH23" s="31"/>
      <c r="PI23" s="31"/>
      <c r="PJ23" s="31"/>
      <c r="PK23" s="31"/>
      <c r="PL23" s="31"/>
      <c r="PM23" s="31"/>
      <c r="PN23" s="31"/>
      <c r="PO23" s="31"/>
      <c r="PP23" s="31"/>
      <c r="PQ23" s="31"/>
      <c r="PR23" s="31"/>
      <c r="PS23" s="31"/>
      <c r="PT23" s="31"/>
      <c r="PU23" s="31"/>
      <c r="PV23" s="31"/>
      <c r="PW23" s="31"/>
      <c r="PX23" s="31"/>
      <c r="PY23" s="31"/>
      <c r="PZ23" s="31"/>
      <c r="QA23" s="31"/>
      <c r="QB23" s="31"/>
      <c r="QC23" s="31"/>
      <c r="QD23" s="31"/>
      <c r="QE23" s="31"/>
      <c r="QF23" s="31"/>
      <c r="QG23" s="31"/>
      <c r="QH23" s="31"/>
      <c r="QI23" s="31"/>
      <c r="QJ23" s="31"/>
      <c r="QK23" s="31"/>
      <c r="QL23" s="31"/>
      <c r="QM23" s="31"/>
      <c r="QN23" s="31"/>
      <c r="QO23" s="31"/>
      <c r="QP23" s="31"/>
      <c r="QQ23" s="31"/>
      <c r="QR23" s="31"/>
      <c r="QS23" s="31"/>
      <c r="QT23" s="31"/>
      <c r="QU23" s="31"/>
      <c r="QV23" s="31"/>
      <c r="QW23" s="31"/>
      <c r="QX23" s="31"/>
      <c r="QY23" s="31"/>
      <c r="QZ23" s="31"/>
      <c r="RA23" s="31"/>
      <c r="RB23" s="31"/>
      <c r="RC23" s="31"/>
      <c r="RD23" s="31"/>
      <c r="RE23" s="31"/>
      <c r="RF23" s="31"/>
      <c r="RG23" s="31"/>
      <c r="RH23" s="31"/>
      <c r="RI23" s="31"/>
      <c r="RJ23" s="31"/>
      <c r="RK23" s="31"/>
      <c r="RL23" s="31"/>
      <c r="RM23" s="31"/>
      <c r="RN23" s="31"/>
      <c r="RO23" s="31"/>
      <c r="RP23" s="31"/>
      <c r="RQ23" s="31"/>
      <c r="RR23" s="31"/>
      <c r="RS23" s="31"/>
      <c r="RT23" s="31"/>
      <c r="RU23" s="31"/>
      <c r="RV23" s="31"/>
      <c r="RW23" s="31"/>
      <c r="RX23" s="31"/>
      <c r="RY23" s="31"/>
      <c r="RZ23" s="31"/>
      <c r="SA23" s="31"/>
      <c r="SB23" s="31"/>
      <c r="SC23" s="31"/>
      <c r="SD23" s="31"/>
      <c r="SE23" s="31"/>
      <c r="SF23" s="31"/>
      <c r="SG23" s="31"/>
      <c r="SH23" s="31"/>
      <c r="SI23" s="31"/>
      <c r="SJ23" s="82"/>
      <c r="SK23" s="6"/>
    </row>
    <row r="24" ht="14.25" customHeight="1">
      <c r="A24" s="80" t="s">
        <v>575</v>
      </c>
      <c r="B24" s="30" t="s">
        <v>585</v>
      </c>
      <c r="C24" s="81"/>
      <c r="D24" s="74">
        <f t="shared" si="3"/>
        <v>-60209.43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83"/>
      <c r="AH24" s="83"/>
      <c r="AI24" s="31"/>
      <c r="AJ24" s="83"/>
      <c r="AK24" s="83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83">
        <v>-60209.43</v>
      </c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1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  <c r="DO24" s="31"/>
      <c r="DP24" s="31"/>
      <c r="DQ24" s="31"/>
      <c r="DR24" s="31"/>
      <c r="DS24" s="31"/>
      <c r="DT24" s="31"/>
      <c r="DU24" s="31"/>
      <c r="DV24" s="31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31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/>
      <c r="FB24" s="31"/>
      <c r="FC24" s="31"/>
      <c r="FD24" s="31"/>
      <c r="FE24" s="31"/>
      <c r="FF24" s="31"/>
      <c r="FG24" s="31"/>
      <c r="FH24" s="31"/>
      <c r="FI24" s="31"/>
      <c r="FJ24" s="31"/>
      <c r="FK24" s="31"/>
      <c r="FL24" s="31"/>
      <c r="FM24" s="31"/>
      <c r="FN24" s="31"/>
      <c r="FO24" s="31"/>
      <c r="FP24" s="31"/>
      <c r="FQ24" s="31"/>
      <c r="FR24" s="31"/>
      <c r="FS24" s="31"/>
      <c r="FT24" s="31"/>
      <c r="FU24" s="31"/>
      <c r="FV24" s="31"/>
      <c r="FW24" s="31"/>
      <c r="FX24" s="31"/>
      <c r="FY24" s="31"/>
      <c r="FZ24" s="31"/>
      <c r="GA24" s="31"/>
      <c r="GB24" s="31"/>
      <c r="GC24" s="31"/>
      <c r="GD24" s="31"/>
      <c r="GE24" s="31"/>
      <c r="GF24" s="31"/>
      <c r="GG24" s="31"/>
      <c r="GH24" s="31"/>
      <c r="GI24" s="31"/>
      <c r="GJ24" s="31"/>
      <c r="GK24" s="31"/>
      <c r="GL24" s="31"/>
      <c r="GM24" s="31"/>
      <c r="GN24" s="31"/>
      <c r="GO24" s="31"/>
      <c r="GP24" s="31"/>
      <c r="GQ24" s="31"/>
      <c r="GR24" s="31"/>
      <c r="GS24" s="31"/>
      <c r="GT24" s="31"/>
      <c r="GU24" s="31"/>
      <c r="GV24" s="31"/>
      <c r="GW24" s="31"/>
      <c r="GX24" s="31"/>
      <c r="GY24" s="31"/>
      <c r="GZ24" s="31"/>
      <c r="HA24" s="31"/>
      <c r="HB24" s="31"/>
      <c r="HC24" s="31"/>
      <c r="HD24" s="31"/>
      <c r="HE24" s="31"/>
      <c r="HF24" s="31"/>
      <c r="HG24" s="31"/>
      <c r="HH24" s="31"/>
      <c r="HI24" s="31"/>
      <c r="HJ24" s="31"/>
      <c r="HK24" s="31"/>
      <c r="HL24" s="31"/>
      <c r="HM24" s="31"/>
      <c r="HN24" s="31"/>
      <c r="HO24" s="31"/>
      <c r="HP24" s="31"/>
      <c r="HQ24" s="31"/>
      <c r="HR24" s="31"/>
      <c r="HS24" s="31"/>
      <c r="HT24" s="31"/>
      <c r="HU24" s="31"/>
      <c r="HV24" s="31"/>
      <c r="HW24" s="31"/>
      <c r="HX24" s="31"/>
      <c r="HY24" s="31"/>
      <c r="HZ24" s="31"/>
      <c r="IA24" s="31"/>
      <c r="IB24" s="31"/>
      <c r="IC24" s="31"/>
      <c r="ID24" s="31"/>
      <c r="IE24" s="31"/>
      <c r="IF24" s="31"/>
      <c r="IG24" s="31"/>
      <c r="IH24" s="31"/>
      <c r="II24" s="31"/>
      <c r="IJ24" s="31"/>
      <c r="IK24" s="31"/>
      <c r="IL24" s="31"/>
      <c r="IM24" s="31"/>
      <c r="IN24" s="31"/>
      <c r="IO24" s="31"/>
      <c r="IP24" s="31"/>
      <c r="IQ24" s="31"/>
      <c r="IR24" s="31"/>
      <c r="IS24" s="31"/>
      <c r="IT24" s="31"/>
      <c r="IU24" s="31"/>
      <c r="IV24" s="31"/>
      <c r="IW24" s="31"/>
      <c r="IX24" s="31"/>
      <c r="IY24" s="31"/>
      <c r="IZ24" s="31"/>
      <c r="JA24" s="31"/>
      <c r="JB24" s="31"/>
      <c r="JC24" s="31"/>
      <c r="JD24" s="31"/>
      <c r="JE24" s="31"/>
      <c r="JF24" s="31"/>
      <c r="JG24" s="31"/>
      <c r="JH24" s="31"/>
      <c r="JI24" s="31"/>
      <c r="JJ24" s="31"/>
      <c r="JK24" s="31"/>
      <c r="JL24" s="31"/>
      <c r="JM24" s="31"/>
      <c r="JN24" s="31"/>
      <c r="JO24" s="31"/>
      <c r="JP24" s="31"/>
      <c r="JQ24" s="31"/>
      <c r="JR24" s="31"/>
      <c r="JS24" s="31"/>
      <c r="JT24" s="31"/>
      <c r="JU24" s="31"/>
      <c r="JV24" s="31"/>
      <c r="JW24" s="31"/>
      <c r="JX24" s="31"/>
      <c r="JY24" s="31"/>
      <c r="JZ24" s="31"/>
      <c r="KA24" s="31"/>
      <c r="KB24" s="31"/>
      <c r="KC24" s="31"/>
      <c r="KD24" s="31"/>
      <c r="KE24" s="31"/>
      <c r="KF24" s="31"/>
      <c r="KG24" s="31"/>
      <c r="KH24" s="31"/>
      <c r="KI24" s="31"/>
      <c r="KJ24" s="31"/>
      <c r="KK24" s="31"/>
      <c r="KL24" s="31"/>
      <c r="KM24" s="31"/>
      <c r="KN24" s="31"/>
      <c r="KO24" s="31"/>
      <c r="KP24" s="31"/>
      <c r="KQ24" s="31"/>
      <c r="KR24" s="31"/>
      <c r="KS24" s="31"/>
      <c r="KT24" s="31"/>
      <c r="KU24" s="31"/>
      <c r="KV24" s="31"/>
      <c r="KW24" s="31"/>
      <c r="KX24" s="31"/>
      <c r="KY24" s="31"/>
      <c r="KZ24" s="31"/>
      <c r="LA24" s="31"/>
      <c r="LB24" s="31"/>
      <c r="LC24" s="31"/>
      <c r="LD24" s="31"/>
      <c r="LE24" s="31"/>
      <c r="LF24" s="31"/>
      <c r="LG24" s="31"/>
      <c r="LH24" s="31"/>
      <c r="LI24" s="31"/>
      <c r="LJ24" s="31"/>
      <c r="LK24" s="31"/>
      <c r="LL24" s="31"/>
      <c r="LM24" s="31"/>
      <c r="LN24" s="31"/>
      <c r="LO24" s="31"/>
      <c r="LP24" s="31"/>
      <c r="LQ24" s="31"/>
      <c r="LR24" s="31"/>
      <c r="LS24" s="31"/>
      <c r="LT24" s="31"/>
      <c r="LU24" s="31"/>
      <c r="LV24" s="31"/>
      <c r="LW24" s="31"/>
      <c r="LX24" s="31"/>
      <c r="LY24" s="31"/>
      <c r="LZ24" s="31"/>
      <c r="MA24" s="31"/>
      <c r="MB24" s="31"/>
      <c r="MC24" s="31"/>
      <c r="MD24" s="31"/>
      <c r="ME24" s="31"/>
      <c r="MF24" s="31"/>
      <c r="MG24" s="31"/>
      <c r="MH24" s="31"/>
      <c r="MI24" s="31"/>
      <c r="MJ24" s="31"/>
      <c r="MK24" s="31"/>
      <c r="ML24" s="31"/>
      <c r="MM24" s="31"/>
      <c r="MN24" s="31"/>
      <c r="MO24" s="31"/>
      <c r="MP24" s="31"/>
      <c r="MQ24" s="31"/>
      <c r="MR24" s="31"/>
      <c r="MS24" s="31"/>
      <c r="MT24" s="31"/>
      <c r="MU24" s="31"/>
      <c r="MV24" s="31"/>
      <c r="MW24" s="31"/>
      <c r="MX24" s="31"/>
      <c r="MY24" s="31"/>
      <c r="MZ24" s="31"/>
      <c r="NA24" s="31"/>
      <c r="NB24" s="31"/>
      <c r="NC24" s="31"/>
      <c r="ND24" s="31"/>
      <c r="NE24" s="31"/>
      <c r="NF24" s="31"/>
      <c r="NG24" s="31"/>
      <c r="NH24" s="31"/>
      <c r="NI24" s="31"/>
      <c r="NJ24" s="31"/>
      <c r="NK24" s="31"/>
      <c r="NL24" s="31"/>
      <c r="NM24" s="31"/>
      <c r="NN24" s="31"/>
      <c r="NO24" s="31"/>
      <c r="NP24" s="31"/>
      <c r="NQ24" s="31"/>
      <c r="NR24" s="31"/>
      <c r="NS24" s="31"/>
      <c r="NT24" s="31"/>
      <c r="NU24" s="31"/>
      <c r="NV24" s="31"/>
      <c r="NW24" s="31"/>
      <c r="NX24" s="31"/>
      <c r="NY24" s="31"/>
      <c r="NZ24" s="31"/>
      <c r="OA24" s="31"/>
      <c r="OB24" s="31"/>
      <c r="OC24" s="31"/>
      <c r="OD24" s="31"/>
      <c r="OE24" s="31"/>
      <c r="OF24" s="31"/>
      <c r="OG24" s="31"/>
      <c r="OH24" s="31"/>
      <c r="OI24" s="31"/>
      <c r="OJ24" s="31"/>
      <c r="OK24" s="31"/>
      <c r="OL24" s="31"/>
      <c r="OM24" s="31"/>
      <c r="ON24" s="31"/>
      <c r="OO24" s="31"/>
      <c r="OP24" s="31"/>
      <c r="OQ24" s="31"/>
      <c r="OR24" s="31"/>
      <c r="OS24" s="31"/>
      <c r="OT24" s="31"/>
      <c r="OU24" s="31"/>
      <c r="OV24" s="31"/>
      <c r="OW24" s="31"/>
      <c r="OX24" s="31"/>
      <c r="OY24" s="31"/>
      <c r="OZ24" s="31"/>
      <c r="PA24" s="31"/>
      <c r="PB24" s="31"/>
      <c r="PC24" s="31"/>
      <c r="PD24" s="31"/>
      <c r="PE24" s="31"/>
      <c r="PF24" s="31"/>
      <c r="PG24" s="31"/>
      <c r="PH24" s="31"/>
      <c r="PI24" s="31"/>
      <c r="PJ24" s="31"/>
      <c r="PK24" s="31"/>
      <c r="PL24" s="31"/>
      <c r="PM24" s="31"/>
      <c r="PN24" s="31"/>
      <c r="PO24" s="31"/>
      <c r="PP24" s="31"/>
      <c r="PQ24" s="31"/>
      <c r="PR24" s="31"/>
      <c r="PS24" s="31"/>
      <c r="PT24" s="31"/>
      <c r="PU24" s="31"/>
      <c r="PV24" s="31"/>
      <c r="PW24" s="31"/>
      <c r="PX24" s="31"/>
      <c r="PY24" s="31"/>
      <c r="PZ24" s="31"/>
      <c r="QA24" s="31"/>
      <c r="QB24" s="31"/>
      <c r="QC24" s="31"/>
      <c r="QD24" s="31"/>
      <c r="QE24" s="31"/>
      <c r="QF24" s="31"/>
      <c r="QG24" s="31"/>
      <c r="QH24" s="31"/>
      <c r="QI24" s="31"/>
      <c r="QJ24" s="31"/>
      <c r="QK24" s="31"/>
      <c r="QL24" s="31"/>
      <c r="QM24" s="31"/>
      <c r="QN24" s="31"/>
      <c r="QO24" s="31"/>
      <c r="QP24" s="31"/>
      <c r="QQ24" s="31"/>
      <c r="QR24" s="31"/>
      <c r="QS24" s="31"/>
      <c r="QT24" s="31"/>
      <c r="QU24" s="31"/>
      <c r="QV24" s="31"/>
      <c r="QW24" s="31"/>
      <c r="QX24" s="31"/>
      <c r="QY24" s="31"/>
      <c r="QZ24" s="31"/>
      <c r="RA24" s="31"/>
      <c r="RB24" s="31"/>
      <c r="RC24" s="31"/>
      <c r="RD24" s="31"/>
      <c r="RE24" s="31"/>
      <c r="RF24" s="31"/>
      <c r="RG24" s="31"/>
      <c r="RH24" s="31"/>
      <c r="RI24" s="31"/>
      <c r="RJ24" s="31"/>
      <c r="RK24" s="31"/>
      <c r="RL24" s="31"/>
      <c r="RM24" s="31"/>
      <c r="RN24" s="31"/>
      <c r="RO24" s="31"/>
      <c r="RP24" s="31"/>
      <c r="RQ24" s="31"/>
      <c r="RR24" s="31"/>
      <c r="RS24" s="31"/>
      <c r="RT24" s="31"/>
      <c r="RU24" s="31"/>
      <c r="RV24" s="31"/>
      <c r="RW24" s="31"/>
      <c r="RX24" s="31"/>
      <c r="RY24" s="31"/>
      <c r="RZ24" s="31"/>
      <c r="SA24" s="31"/>
      <c r="SB24" s="31"/>
      <c r="SC24" s="31"/>
      <c r="SD24" s="31"/>
      <c r="SE24" s="31"/>
      <c r="SF24" s="31"/>
      <c r="SG24" s="31"/>
      <c r="SH24" s="31"/>
      <c r="SI24" s="31"/>
      <c r="SJ24" s="82"/>
      <c r="SK24" s="6"/>
    </row>
    <row r="25" ht="14.25" customHeight="1">
      <c r="A25" s="80" t="s">
        <v>575</v>
      </c>
      <c r="B25" s="30" t="s">
        <v>586</v>
      </c>
      <c r="C25" s="81"/>
      <c r="D25" s="74">
        <f t="shared" si="3"/>
        <v>-40130.74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83">
        <v>-35381.12</v>
      </c>
      <c r="AH25" s="31"/>
      <c r="AI25" s="31"/>
      <c r="AJ25" s="83">
        <v>-4060.13</v>
      </c>
      <c r="AK25" s="83">
        <v>-689.49</v>
      </c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/>
      <c r="DV25" s="31"/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  <c r="EM25" s="31"/>
      <c r="EN25" s="31"/>
      <c r="EO25" s="31"/>
      <c r="EP25" s="31"/>
      <c r="EQ25" s="31"/>
      <c r="ER25" s="31"/>
      <c r="ES25" s="31"/>
      <c r="ET25" s="31"/>
      <c r="EU25" s="31"/>
      <c r="EV25" s="31"/>
      <c r="EW25" s="31"/>
      <c r="EX25" s="31"/>
      <c r="EY25" s="31"/>
      <c r="EZ25" s="31"/>
      <c r="FA25" s="31"/>
      <c r="FB25" s="31"/>
      <c r="FC25" s="31"/>
      <c r="FD25" s="31"/>
      <c r="FE25" s="31"/>
      <c r="FF25" s="31"/>
      <c r="FG25" s="31"/>
      <c r="FH25" s="31"/>
      <c r="FI25" s="31"/>
      <c r="FJ25" s="31"/>
      <c r="FK25" s="31"/>
      <c r="FL25" s="31"/>
      <c r="FM25" s="31"/>
      <c r="FN25" s="31"/>
      <c r="FO25" s="31"/>
      <c r="FP25" s="31"/>
      <c r="FQ25" s="31"/>
      <c r="FR25" s="31"/>
      <c r="FS25" s="31"/>
      <c r="FT25" s="31"/>
      <c r="FU25" s="31"/>
      <c r="FV25" s="31"/>
      <c r="FW25" s="31"/>
      <c r="FX25" s="31"/>
      <c r="FY25" s="31"/>
      <c r="FZ25" s="31"/>
      <c r="GA25" s="31"/>
      <c r="GB25" s="31"/>
      <c r="GC25" s="31"/>
      <c r="GD25" s="31"/>
      <c r="GE25" s="31"/>
      <c r="GF25" s="31"/>
      <c r="GG25" s="31"/>
      <c r="GH25" s="31"/>
      <c r="GI25" s="31"/>
      <c r="GJ25" s="31"/>
      <c r="GK25" s="31"/>
      <c r="GL25" s="31"/>
      <c r="GM25" s="31"/>
      <c r="GN25" s="31"/>
      <c r="GO25" s="31"/>
      <c r="GP25" s="31"/>
      <c r="GQ25" s="31"/>
      <c r="GR25" s="31"/>
      <c r="GS25" s="31"/>
      <c r="GT25" s="31"/>
      <c r="GU25" s="31"/>
      <c r="GV25" s="31"/>
      <c r="GW25" s="31"/>
      <c r="GX25" s="31"/>
      <c r="GY25" s="31"/>
      <c r="GZ25" s="31"/>
      <c r="HA25" s="31"/>
      <c r="HB25" s="31"/>
      <c r="HC25" s="31"/>
      <c r="HD25" s="31"/>
      <c r="HE25" s="31"/>
      <c r="HF25" s="31"/>
      <c r="HG25" s="31"/>
      <c r="HH25" s="31"/>
      <c r="HI25" s="31"/>
      <c r="HJ25" s="31"/>
      <c r="HK25" s="31"/>
      <c r="HL25" s="31"/>
      <c r="HM25" s="31"/>
      <c r="HN25" s="31"/>
      <c r="HO25" s="31"/>
      <c r="HP25" s="31"/>
      <c r="HQ25" s="31"/>
      <c r="HR25" s="31"/>
      <c r="HS25" s="31"/>
      <c r="HT25" s="31"/>
      <c r="HU25" s="31"/>
      <c r="HV25" s="31"/>
      <c r="HW25" s="31"/>
      <c r="HX25" s="31"/>
      <c r="HY25" s="31"/>
      <c r="HZ25" s="31"/>
      <c r="IA25" s="31"/>
      <c r="IB25" s="31"/>
      <c r="IC25" s="31"/>
      <c r="ID25" s="31"/>
      <c r="IE25" s="31"/>
      <c r="IF25" s="31"/>
      <c r="IG25" s="31"/>
      <c r="IH25" s="31"/>
      <c r="II25" s="31"/>
      <c r="IJ25" s="31"/>
      <c r="IK25" s="31"/>
      <c r="IL25" s="31"/>
      <c r="IM25" s="31"/>
      <c r="IN25" s="31"/>
      <c r="IO25" s="31"/>
      <c r="IP25" s="31"/>
      <c r="IQ25" s="31"/>
      <c r="IR25" s="31"/>
      <c r="IS25" s="31"/>
      <c r="IT25" s="31"/>
      <c r="IU25" s="31"/>
      <c r="IV25" s="31"/>
      <c r="IW25" s="31"/>
      <c r="IX25" s="31"/>
      <c r="IY25" s="31"/>
      <c r="IZ25" s="31"/>
      <c r="JA25" s="31"/>
      <c r="JB25" s="31"/>
      <c r="JC25" s="31"/>
      <c r="JD25" s="31"/>
      <c r="JE25" s="31"/>
      <c r="JF25" s="31"/>
      <c r="JG25" s="31"/>
      <c r="JH25" s="31"/>
      <c r="JI25" s="31"/>
      <c r="JJ25" s="31"/>
      <c r="JK25" s="31"/>
      <c r="JL25" s="31"/>
      <c r="JM25" s="31"/>
      <c r="JN25" s="31"/>
      <c r="JO25" s="31"/>
      <c r="JP25" s="31"/>
      <c r="JQ25" s="31"/>
      <c r="JR25" s="31"/>
      <c r="JS25" s="31"/>
      <c r="JT25" s="31"/>
      <c r="JU25" s="31"/>
      <c r="JV25" s="31"/>
      <c r="JW25" s="31"/>
      <c r="JX25" s="31"/>
      <c r="JY25" s="31"/>
      <c r="JZ25" s="31"/>
      <c r="KA25" s="31"/>
      <c r="KB25" s="31"/>
      <c r="KC25" s="31"/>
      <c r="KD25" s="31"/>
      <c r="KE25" s="31"/>
      <c r="KF25" s="31"/>
      <c r="KG25" s="31"/>
      <c r="KH25" s="31"/>
      <c r="KI25" s="31"/>
      <c r="KJ25" s="31"/>
      <c r="KK25" s="31"/>
      <c r="KL25" s="31"/>
      <c r="KM25" s="31"/>
      <c r="KN25" s="31"/>
      <c r="KO25" s="31"/>
      <c r="KP25" s="31"/>
      <c r="KQ25" s="31"/>
      <c r="KR25" s="31"/>
      <c r="KS25" s="31"/>
      <c r="KT25" s="31"/>
      <c r="KU25" s="31"/>
      <c r="KV25" s="31"/>
      <c r="KW25" s="31"/>
      <c r="KX25" s="31"/>
      <c r="KY25" s="31"/>
      <c r="KZ25" s="31"/>
      <c r="LA25" s="31"/>
      <c r="LB25" s="31"/>
      <c r="LC25" s="31"/>
      <c r="LD25" s="31"/>
      <c r="LE25" s="31"/>
      <c r="LF25" s="31"/>
      <c r="LG25" s="31"/>
      <c r="LH25" s="31"/>
      <c r="LI25" s="31"/>
      <c r="LJ25" s="31"/>
      <c r="LK25" s="31"/>
      <c r="LL25" s="31"/>
      <c r="LM25" s="31"/>
      <c r="LN25" s="31"/>
      <c r="LO25" s="31"/>
      <c r="LP25" s="31"/>
      <c r="LQ25" s="31"/>
      <c r="LR25" s="31"/>
      <c r="LS25" s="31"/>
      <c r="LT25" s="31"/>
      <c r="LU25" s="31"/>
      <c r="LV25" s="31"/>
      <c r="LW25" s="31"/>
      <c r="LX25" s="31"/>
      <c r="LY25" s="31"/>
      <c r="LZ25" s="31"/>
      <c r="MA25" s="31"/>
      <c r="MB25" s="31"/>
      <c r="MC25" s="31"/>
      <c r="MD25" s="31"/>
      <c r="ME25" s="31"/>
      <c r="MF25" s="31"/>
      <c r="MG25" s="31"/>
      <c r="MH25" s="31"/>
      <c r="MI25" s="31"/>
      <c r="MJ25" s="31"/>
      <c r="MK25" s="31"/>
      <c r="ML25" s="31"/>
      <c r="MM25" s="31"/>
      <c r="MN25" s="31"/>
      <c r="MO25" s="31"/>
      <c r="MP25" s="31"/>
      <c r="MQ25" s="31"/>
      <c r="MR25" s="31"/>
      <c r="MS25" s="31"/>
      <c r="MT25" s="31"/>
      <c r="MU25" s="31"/>
      <c r="MV25" s="31"/>
      <c r="MW25" s="31"/>
      <c r="MX25" s="31"/>
      <c r="MY25" s="31"/>
      <c r="MZ25" s="31"/>
      <c r="NA25" s="31"/>
      <c r="NB25" s="31"/>
      <c r="NC25" s="31"/>
      <c r="ND25" s="31"/>
      <c r="NE25" s="31"/>
      <c r="NF25" s="31"/>
      <c r="NG25" s="31"/>
      <c r="NH25" s="31"/>
      <c r="NI25" s="31"/>
      <c r="NJ25" s="31"/>
      <c r="NK25" s="31"/>
      <c r="NL25" s="31"/>
      <c r="NM25" s="31"/>
      <c r="NN25" s="31"/>
      <c r="NO25" s="31"/>
      <c r="NP25" s="31"/>
      <c r="NQ25" s="31"/>
      <c r="NR25" s="31"/>
      <c r="NS25" s="31"/>
      <c r="NT25" s="31"/>
      <c r="NU25" s="31"/>
      <c r="NV25" s="31"/>
      <c r="NW25" s="31"/>
      <c r="NX25" s="31"/>
      <c r="NY25" s="31"/>
      <c r="NZ25" s="31"/>
      <c r="OA25" s="31"/>
      <c r="OB25" s="31"/>
      <c r="OC25" s="31"/>
      <c r="OD25" s="31"/>
      <c r="OE25" s="31"/>
      <c r="OF25" s="31"/>
      <c r="OG25" s="31"/>
      <c r="OH25" s="31"/>
      <c r="OI25" s="31"/>
      <c r="OJ25" s="31"/>
      <c r="OK25" s="31"/>
      <c r="OL25" s="31"/>
      <c r="OM25" s="31"/>
      <c r="ON25" s="31"/>
      <c r="OO25" s="31"/>
      <c r="OP25" s="31"/>
      <c r="OQ25" s="31"/>
      <c r="OR25" s="31"/>
      <c r="OS25" s="31"/>
      <c r="OT25" s="31"/>
      <c r="OU25" s="31"/>
      <c r="OV25" s="31"/>
      <c r="OW25" s="31"/>
      <c r="OX25" s="31"/>
      <c r="OY25" s="31"/>
      <c r="OZ25" s="31"/>
      <c r="PA25" s="31"/>
      <c r="PB25" s="31"/>
      <c r="PC25" s="31"/>
      <c r="PD25" s="31"/>
      <c r="PE25" s="31"/>
      <c r="PF25" s="31"/>
      <c r="PG25" s="31"/>
      <c r="PH25" s="31"/>
      <c r="PI25" s="31"/>
      <c r="PJ25" s="31"/>
      <c r="PK25" s="31"/>
      <c r="PL25" s="31"/>
      <c r="PM25" s="31"/>
      <c r="PN25" s="31"/>
      <c r="PO25" s="31"/>
      <c r="PP25" s="31"/>
      <c r="PQ25" s="31"/>
      <c r="PR25" s="31"/>
      <c r="PS25" s="31"/>
      <c r="PT25" s="31"/>
      <c r="PU25" s="31"/>
      <c r="PV25" s="31"/>
      <c r="PW25" s="31"/>
      <c r="PX25" s="31"/>
      <c r="PY25" s="31"/>
      <c r="PZ25" s="31"/>
      <c r="QA25" s="31"/>
      <c r="QB25" s="31"/>
      <c r="QC25" s="31"/>
      <c r="QD25" s="31"/>
      <c r="QE25" s="31"/>
      <c r="QF25" s="31"/>
      <c r="QG25" s="31"/>
      <c r="QH25" s="31"/>
      <c r="QI25" s="31"/>
      <c r="QJ25" s="31"/>
      <c r="QK25" s="31"/>
      <c r="QL25" s="31"/>
      <c r="QM25" s="31"/>
      <c r="QN25" s="31"/>
      <c r="QO25" s="31"/>
      <c r="QP25" s="31"/>
      <c r="QQ25" s="31"/>
      <c r="QR25" s="31"/>
      <c r="QS25" s="31"/>
      <c r="QT25" s="31"/>
      <c r="QU25" s="31"/>
      <c r="QV25" s="31"/>
      <c r="QW25" s="31"/>
      <c r="QX25" s="31"/>
      <c r="QY25" s="31"/>
      <c r="QZ25" s="31"/>
      <c r="RA25" s="31"/>
      <c r="RB25" s="31"/>
      <c r="RC25" s="31"/>
      <c r="RD25" s="31"/>
      <c r="RE25" s="31"/>
      <c r="RF25" s="31"/>
      <c r="RG25" s="31"/>
      <c r="RH25" s="31"/>
      <c r="RI25" s="31"/>
      <c r="RJ25" s="31"/>
      <c r="RK25" s="31"/>
      <c r="RL25" s="31"/>
      <c r="RM25" s="31"/>
      <c r="RN25" s="31"/>
      <c r="RO25" s="31"/>
      <c r="RP25" s="31"/>
      <c r="RQ25" s="31"/>
      <c r="RR25" s="31"/>
      <c r="RS25" s="31"/>
      <c r="RT25" s="31"/>
      <c r="RU25" s="31"/>
      <c r="RV25" s="31"/>
      <c r="RW25" s="31"/>
      <c r="RX25" s="31"/>
      <c r="RY25" s="31"/>
      <c r="RZ25" s="31"/>
      <c r="SA25" s="31"/>
      <c r="SB25" s="31"/>
      <c r="SC25" s="31"/>
      <c r="SD25" s="31"/>
      <c r="SE25" s="31"/>
      <c r="SF25" s="31"/>
      <c r="SG25" s="31"/>
      <c r="SH25" s="31"/>
      <c r="SI25" s="31"/>
      <c r="SJ25" s="82"/>
      <c r="SK25" s="6"/>
    </row>
    <row r="26" ht="14.25" customHeight="1">
      <c r="A26" s="80" t="s">
        <v>575</v>
      </c>
      <c r="B26" s="105" t="s">
        <v>587</v>
      </c>
      <c r="C26" s="81"/>
      <c r="D26" s="74">
        <f t="shared" si="3"/>
        <v>-2677.62</v>
      </c>
      <c r="E26" s="83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83">
        <v>-1547.58</v>
      </c>
      <c r="CC26" s="31"/>
      <c r="CD26" s="31"/>
      <c r="CE26" s="31"/>
      <c r="CF26" s="83">
        <v>-1130.04</v>
      </c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  <c r="EM26" s="31"/>
      <c r="EN26" s="31"/>
      <c r="EO26" s="31"/>
      <c r="EP26" s="31"/>
      <c r="EQ26" s="31"/>
      <c r="ER26" s="31"/>
      <c r="ES26" s="31"/>
      <c r="ET26" s="31"/>
      <c r="EU26" s="31"/>
      <c r="EV26" s="31"/>
      <c r="EW26" s="31"/>
      <c r="EX26" s="31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1"/>
      <c r="FX26" s="31"/>
      <c r="FY26" s="31"/>
      <c r="FZ26" s="31"/>
      <c r="GA26" s="31"/>
      <c r="GB26" s="31"/>
      <c r="GC26" s="31"/>
      <c r="GD26" s="31"/>
      <c r="GE26" s="31"/>
      <c r="GF26" s="31"/>
      <c r="GG26" s="31"/>
      <c r="GH26" s="31"/>
      <c r="GI26" s="31"/>
      <c r="GJ26" s="31"/>
      <c r="GK26" s="31"/>
      <c r="GL26" s="31"/>
      <c r="GM26" s="31"/>
      <c r="GN26" s="31"/>
      <c r="GO26" s="31"/>
      <c r="GP26" s="31"/>
      <c r="GQ26" s="31"/>
      <c r="GR26" s="31"/>
      <c r="GS26" s="31"/>
      <c r="GT26" s="31"/>
      <c r="GU26" s="31"/>
      <c r="GV26" s="31"/>
      <c r="GW26" s="31"/>
      <c r="GX26" s="31"/>
      <c r="GY26" s="31"/>
      <c r="GZ26" s="31"/>
      <c r="HA26" s="31"/>
      <c r="HB26" s="31"/>
      <c r="HC26" s="31"/>
      <c r="HD26" s="31"/>
      <c r="HE26" s="31"/>
      <c r="HF26" s="31"/>
      <c r="HG26" s="31"/>
      <c r="HH26" s="31"/>
      <c r="HI26" s="31"/>
      <c r="HJ26" s="31"/>
      <c r="HK26" s="31"/>
      <c r="HL26" s="31"/>
      <c r="HM26" s="31"/>
      <c r="HN26" s="31"/>
      <c r="HO26" s="31"/>
      <c r="HP26" s="31"/>
      <c r="HQ26" s="31"/>
      <c r="HR26" s="31"/>
      <c r="HS26" s="31"/>
      <c r="HT26" s="31"/>
      <c r="HU26" s="31"/>
      <c r="HV26" s="31"/>
      <c r="HW26" s="31"/>
      <c r="HX26" s="31"/>
      <c r="HY26" s="31"/>
      <c r="HZ26" s="31"/>
      <c r="IA26" s="31"/>
      <c r="IB26" s="31"/>
      <c r="IC26" s="31"/>
      <c r="ID26" s="31"/>
      <c r="IE26" s="31"/>
      <c r="IF26" s="31"/>
      <c r="IG26" s="31"/>
      <c r="IH26" s="31"/>
      <c r="II26" s="31"/>
      <c r="IJ26" s="31"/>
      <c r="IK26" s="31"/>
      <c r="IL26" s="31"/>
      <c r="IM26" s="31"/>
      <c r="IN26" s="31"/>
      <c r="IO26" s="31"/>
      <c r="IP26" s="31"/>
      <c r="IQ26" s="31"/>
      <c r="IR26" s="31"/>
      <c r="IS26" s="31"/>
      <c r="IT26" s="31"/>
      <c r="IU26" s="31"/>
      <c r="IV26" s="31"/>
      <c r="IW26" s="31"/>
      <c r="IX26" s="31"/>
      <c r="IY26" s="31"/>
      <c r="IZ26" s="31"/>
      <c r="JA26" s="31"/>
      <c r="JB26" s="31"/>
      <c r="JC26" s="31"/>
      <c r="JD26" s="31"/>
      <c r="JE26" s="31"/>
      <c r="JF26" s="31"/>
      <c r="JG26" s="31"/>
      <c r="JH26" s="31"/>
      <c r="JI26" s="31"/>
      <c r="JJ26" s="31"/>
      <c r="JK26" s="31"/>
      <c r="JL26" s="31"/>
      <c r="JM26" s="31"/>
      <c r="JN26" s="31"/>
      <c r="JO26" s="31"/>
      <c r="JP26" s="31"/>
      <c r="JQ26" s="31"/>
      <c r="JR26" s="31"/>
      <c r="JS26" s="31"/>
      <c r="JT26" s="31"/>
      <c r="JU26" s="31"/>
      <c r="JV26" s="31"/>
      <c r="JW26" s="31"/>
      <c r="JX26" s="31"/>
      <c r="JY26" s="31"/>
      <c r="JZ26" s="31"/>
      <c r="KA26" s="31"/>
      <c r="KB26" s="31"/>
      <c r="KC26" s="31"/>
      <c r="KD26" s="31"/>
      <c r="KE26" s="31"/>
      <c r="KF26" s="31"/>
      <c r="KG26" s="31"/>
      <c r="KH26" s="31"/>
      <c r="KI26" s="31"/>
      <c r="KJ26" s="31"/>
      <c r="KK26" s="31"/>
      <c r="KL26" s="31"/>
      <c r="KM26" s="31"/>
      <c r="KN26" s="31"/>
      <c r="KO26" s="31"/>
      <c r="KP26" s="31"/>
      <c r="KQ26" s="31"/>
      <c r="KR26" s="31"/>
      <c r="KS26" s="31"/>
      <c r="KT26" s="31"/>
      <c r="KU26" s="31"/>
      <c r="KV26" s="31"/>
      <c r="KW26" s="31"/>
      <c r="KX26" s="31"/>
      <c r="KY26" s="31"/>
      <c r="KZ26" s="31"/>
      <c r="LA26" s="31"/>
      <c r="LB26" s="31"/>
      <c r="LC26" s="31"/>
      <c r="LD26" s="31"/>
      <c r="LE26" s="31"/>
      <c r="LF26" s="31"/>
      <c r="LG26" s="31"/>
      <c r="LH26" s="31"/>
      <c r="LI26" s="31"/>
      <c r="LJ26" s="31"/>
      <c r="LK26" s="31"/>
      <c r="LL26" s="31"/>
      <c r="LM26" s="31"/>
      <c r="LN26" s="31"/>
      <c r="LO26" s="31"/>
      <c r="LP26" s="31"/>
      <c r="LQ26" s="31"/>
      <c r="LR26" s="31"/>
      <c r="LS26" s="31"/>
      <c r="LT26" s="31"/>
      <c r="LU26" s="31"/>
      <c r="LV26" s="31"/>
      <c r="LW26" s="31"/>
      <c r="LX26" s="31"/>
      <c r="LY26" s="31"/>
      <c r="LZ26" s="31"/>
      <c r="MA26" s="31"/>
      <c r="MB26" s="31"/>
      <c r="MC26" s="31"/>
      <c r="MD26" s="31"/>
      <c r="ME26" s="31"/>
      <c r="MF26" s="31"/>
      <c r="MG26" s="31"/>
      <c r="MH26" s="31"/>
      <c r="MI26" s="31"/>
      <c r="MJ26" s="31"/>
      <c r="MK26" s="31"/>
      <c r="ML26" s="31"/>
      <c r="MM26" s="31"/>
      <c r="MN26" s="31"/>
      <c r="MO26" s="31"/>
      <c r="MP26" s="31"/>
      <c r="MQ26" s="31"/>
      <c r="MR26" s="31"/>
      <c r="MS26" s="31"/>
      <c r="MT26" s="31"/>
      <c r="MU26" s="31"/>
      <c r="MV26" s="31"/>
      <c r="MW26" s="31"/>
      <c r="MX26" s="31"/>
      <c r="MY26" s="31"/>
      <c r="MZ26" s="31"/>
      <c r="NA26" s="31"/>
      <c r="NB26" s="31"/>
      <c r="NC26" s="31"/>
      <c r="ND26" s="31"/>
      <c r="NE26" s="31"/>
      <c r="NF26" s="31"/>
      <c r="NG26" s="31"/>
      <c r="NH26" s="31"/>
      <c r="NI26" s="31"/>
      <c r="NJ26" s="31"/>
      <c r="NK26" s="31"/>
      <c r="NL26" s="31"/>
      <c r="NM26" s="31"/>
      <c r="NN26" s="31"/>
      <c r="NO26" s="31"/>
      <c r="NP26" s="31"/>
      <c r="NQ26" s="31"/>
      <c r="NR26" s="31"/>
      <c r="NS26" s="31"/>
      <c r="NT26" s="31"/>
      <c r="NU26" s="31"/>
      <c r="NV26" s="31"/>
      <c r="NW26" s="31"/>
      <c r="NX26" s="31"/>
      <c r="NY26" s="31"/>
      <c r="NZ26" s="31"/>
      <c r="OA26" s="31"/>
      <c r="OB26" s="31"/>
      <c r="OC26" s="31"/>
      <c r="OD26" s="31"/>
      <c r="OE26" s="31"/>
      <c r="OF26" s="31"/>
      <c r="OG26" s="31"/>
      <c r="OH26" s="31"/>
      <c r="OI26" s="31"/>
      <c r="OJ26" s="31"/>
      <c r="OK26" s="31"/>
      <c r="OL26" s="31"/>
      <c r="OM26" s="31"/>
      <c r="ON26" s="31"/>
      <c r="OO26" s="31"/>
      <c r="OP26" s="31"/>
      <c r="OQ26" s="31"/>
      <c r="OR26" s="31"/>
      <c r="OS26" s="31"/>
      <c r="OT26" s="31"/>
      <c r="OU26" s="31"/>
      <c r="OV26" s="31"/>
      <c r="OW26" s="31"/>
      <c r="OX26" s="31"/>
      <c r="OY26" s="31"/>
      <c r="OZ26" s="31"/>
      <c r="PA26" s="31"/>
      <c r="PB26" s="31"/>
      <c r="PC26" s="31"/>
      <c r="PD26" s="31"/>
      <c r="PE26" s="31"/>
      <c r="PF26" s="31"/>
      <c r="PG26" s="31"/>
      <c r="PH26" s="31"/>
      <c r="PI26" s="31"/>
      <c r="PJ26" s="31"/>
      <c r="PK26" s="31"/>
      <c r="PL26" s="31"/>
      <c r="PM26" s="31"/>
      <c r="PN26" s="31"/>
      <c r="PO26" s="31"/>
      <c r="PP26" s="31"/>
      <c r="PQ26" s="31"/>
      <c r="PR26" s="31"/>
      <c r="PS26" s="31"/>
      <c r="PT26" s="31"/>
      <c r="PU26" s="31"/>
      <c r="PV26" s="31"/>
      <c r="PW26" s="31"/>
      <c r="PX26" s="31"/>
      <c r="PY26" s="31"/>
      <c r="PZ26" s="31"/>
      <c r="QA26" s="31"/>
      <c r="QB26" s="31"/>
      <c r="QC26" s="31"/>
      <c r="QD26" s="31"/>
      <c r="QE26" s="31"/>
      <c r="QF26" s="31"/>
      <c r="QG26" s="31"/>
      <c r="QH26" s="31"/>
      <c r="QI26" s="31"/>
      <c r="QJ26" s="31"/>
      <c r="QK26" s="31"/>
      <c r="QL26" s="31"/>
      <c r="QM26" s="31"/>
      <c r="QN26" s="31"/>
      <c r="QO26" s="31"/>
      <c r="QP26" s="31"/>
      <c r="QQ26" s="31"/>
      <c r="QR26" s="31"/>
      <c r="QS26" s="31"/>
      <c r="QT26" s="31"/>
      <c r="QU26" s="31"/>
      <c r="QV26" s="31"/>
      <c r="QW26" s="31"/>
      <c r="QX26" s="31"/>
      <c r="QY26" s="31"/>
      <c r="QZ26" s="31"/>
      <c r="RA26" s="31"/>
      <c r="RB26" s="31"/>
      <c r="RC26" s="31"/>
      <c r="RD26" s="31"/>
      <c r="RE26" s="31"/>
      <c r="RF26" s="31"/>
      <c r="RG26" s="31"/>
      <c r="RH26" s="31"/>
      <c r="RI26" s="31"/>
      <c r="RJ26" s="31"/>
      <c r="RK26" s="31"/>
      <c r="RL26" s="31"/>
      <c r="RM26" s="31"/>
      <c r="RN26" s="31"/>
      <c r="RO26" s="31"/>
      <c r="RP26" s="31"/>
      <c r="RQ26" s="31"/>
      <c r="RR26" s="31"/>
      <c r="RS26" s="31"/>
      <c r="RT26" s="31"/>
      <c r="RU26" s="31"/>
      <c r="RV26" s="31"/>
      <c r="RW26" s="31"/>
      <c r="RX26" s="31"/>
      <c r="RY26" s="31"/>
      <c r="RZ26" s="31"/>
      <c r="SA26" s="31"/>
      <c r="SB26" s="31"/>
      <c r="SC26" s="31"/>
      <c r="SD26" s="31"/>
      <c r="SE26" s="31"/>
      <c r="SF26" s="31"/>
      <c r="SG26" s="31"/>
      <c r="SH26" s="31"/>
      <c r="SI26" s="31"/>
      <c r="SJ26" s="82"/>
      <c r="SK26" s="6"/>
    </row>
    <row r="27" ht="14.25" customHeight="1">
      <c r="A27" s="93" t="s">
        <v>575</v>
      </c>
      <c r="B27" s="107" t="s">
        <v>588</v>
      </c>
      <c r="C27" s="90"/>
      <c r="D27" s="108">
        <f t="shared" si="3"/>
        <v>0</v>
      </c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1"/>
      <c r="BF27" s="91"/>
      <c r="BG27" s="91"/>
      <c r="BH27" s="91"/>
      <c r="BI27" s="91"/>
      <c r="BJ27" s="91"/>
      <c r="BK27" s="91"/>
      <c r="BL27" s="91"/>
      <c r="BM27" s="91"/>
      <c r="BN27" s="91"/>
      <c r="BO27" s="91"/>
      <c r="BP27" s="91"/>
      <c r="BQ27" s="91"/>
      <c r="BR27" s="91"/>
      <c r="BS27" s="91"/>
      <c r="BT27" s="91"/>
      <c r="BU27" s="91"/>
      <c r="BV27" s="91"/>
      <c r="BW27" s="91"/>
      <c r="BX27" s="91"/>
      <c r="BY27" s="91"/>
      <c r="BZ27" s="91"/>
      <c r="CA27" s="91"/>
      <c r="CB27" s="91"/>
      <c r="CC27" s="91"/>
      <c r="CD27" s="91"/>
      <c r="CE27" s="91"/>
      <c r="CF27" s="91"/>
      <c r="CG27" s="91"/>
      <c r="CH27" s="91"/>
      <c r="CI27" s="91"/>
      <c r="CJ27" s="91"/>
      <c r="CK27" s="91"/>
      <c r="CL27" s="91"/>
      <c r="CM27" s="91"/>
      <c r="CN27" s="91"/>
      <c r="CO27" s="91"/>
      <c r="CP27" s="91"/>
      <c r="CQ27" s="91"/>
      <c r="CR27" s="91"/>
      <c r="CS27" s="91"/>
      <c r="CT27" s="91"/>
      <c r="CU27" s="91"/>
      <c r="CV27" s="91"/>
      <c r="CW27" s="91"/>
      <c r="CX27" s="91"/>
      <c r="CY27" s="91"/>
      <c r="CZ27" s="91"/>
      <c r="DA27" s="91"/>
      <c r="DB27" s="91"/>
      <c r="DC27" s="91"/>
      <c r="DD27" s="91"/>
      <c r="DE27" s="91"/>
      <c r="DF27" s="91"/>
      <c r="DG27" s="91"/>
      <c r="DH27" s="91"/>
      <c r="DI27" s="91"/>
      <c r="DJ27" s="91"/>
      <c r="DK27" s="91"/>
      <c r="DL27" s="91"/>
      <c r="DM27" s="91"/>
      <c r="DN27" s="91"/>
      <c r="DO27" s="91"/>
      <c r="DP27" s="91"/>
      <c r="DQ27" s="91"/>
      <c r="DR27" s="91"/>
      <c r="DS27" s="91"/>
      <c r="DT27" s="91"/>
      <c r="DU27" s="91"/>
      <c r="DV27" s="91"/>
      <c r="DW27" s="91"/>
      <c r="DX27" s="91"/>
      <c r="DY27" s="91"/>
      <c r="DZ27" s="91"/>
      <c r="EA27" s="91"/>
      <c r="EB27" s="91"/>
      <c r="EC27" s="91"/>
      <c r="ED27" s="91"/>
      <c r="EE27" s="91"/>
      <c r="EF27" s="91"/>
      <c r="EG27" s="91"/>
      <c r="EH27" s="91"/>
      <c r="EI27" s="91"/>
      <c r="EJ27" s="91"/>
      <c r="EK27" s="91"/>
      <c r="EL27" s="91"/>
      <c r="EM27" s="91"/>
      <c r="EN27" s="91"/>
      <c r="EO27" s="91"/>
      <c r="EP27" s="91"/>
      <c r="EQ27" s="91"/>
      <c r="ER27" s="91"/>
      <c r="ES27" s="91"/>
      <c r="ET27" s="91"/>
      <c r="EU27" s="91"/>
      <c r="EV27" s="91"/>
      <c r="EW27" s="91"/>
      <c r="EX27" s="91"/>
      <c r="EY27" s="91"/>
      <c r="EZ27" s="91"/>
      <c r="FA27" s="91"/>
      <c r="FB27" s="91"/>
      <c r="FC27" s="91"/>
      <c r="FD27" s="91"/>
      <c r="FE27" s="91"/>
      <c r="FF27" s="91"/>
      <c r="FG27" s="91"/>
      <c r="FH27" s="91"/>
      <c r="FI27" s="91"/>
      <c r="FJ27" s="91"/>
      <c r="FK27" s="91"/>
      <c r="FL27" s="91"/>
      <c r="FM27" s="91"/>
      <c r="FN27" s="91"/>
      <c r="FO27" s="91"/>
      <c r="FP27" s="91"/>
      <c r="FQ27" s="91"/>
      <c r="FR27" s="91"/>
      <c r="FS27" s="91"/>
      <c r="FT27" s="91"/>
      <c r="FU27" s="91"/>
      <c r="FV27" s="91"/>
      <c r="FW27" s="91"/>
      <c r="FX27" s="91"/>
      <c r="FY27" s="91"/>
      <c r="FZ27" s="91"/>
      <c r="GA27" s="91"/>
      <c r="GB27" s="91"/>
      <c r="GC27" s="91"/>
      <c r="GD27" s="91"/>
      <c r="GE27" s="91"/>
      <c r="GF27" s="91"/>
      <c r="GG27" s="91"/>
      <c r="GH27" s="91"/>
      <c r="GI27" s="91"/>
      <c r="GJ27" s="91"/>
      <c r="GK27" s="91"/>
      <c r="GL27" s="91"/>
      <c r="GM27" s="91"/>
      <c r="GN27" s="91"/>
      <c r="GO27" s="91"/>
      <c r="GP27" s="91"/>
      <c r="GQ27" s="91"/>
      <c r="GR27" s="91"/>
      <c r="GS27" s="91"/>
      <c r="GT27" s="91"/>
      <c r="GU27" s="91"/>
      <c r="GV27" s="91"/>
      <c r="GW27" s="91"/>
      <c r="GX27" s="91"/>
      <c r="GY27" s="91"/>
      <c r="GZ27" s="91"/>
      <c r="HA27" s="91"/>
      <c r="HB27" s="91"/>
      <c r="HC27" s="91"/>
      <c r="HD27" s="91"/>
      <c r="HE27" s="91"/>
      <c r="HF27" s="91"/>
      <c r="HG27" s="91"/>
      <c r="HH27" s="91"/>
      <c r="HI27" s="91"/>
      <c r="HJ27" s="91"/>
      <c r="HK27" s="91"/>
      <c r="HL27" s="91"/>
      <c r="HM27" s="91"/>
      <c r="HN27" s="91"/>
      <c r="HO27" s="91"/>
      <c r="HP27" s="91"/>
      <c r="HQ27" s="91"/>
      <c r="HR27" s="91"/>
      <c r="HS27" s="91"/>
      <c r="HT27" s="91"/>
      <c r="HU27" s="91"/>
      <c r="HV27" s="91"/>
      <c r="HW27" s="91"/>
      <c r="HX27" s="91"/>
      <c r="HY27" s="91"/>
      <c r="HZ27" s="91"/>
      <c r="IA27" s="91"/>
      <c r="IB27" s="91"/>
      <c r="IC27" s="91"/>
      <c r="ID27" s="91"/>
      <c r="IE27" s="91"/>
      <c r="IF27" s="91"/>
      <c r="IG27" s="91"/>
      <c r="IH27" s="91"/>
      <c r="II27" s="91"/>
      <c r="IJ27" s="91"/>
      <c r="IK27" s="91"/>
      <c r="IL27" s="91"/>
      <c r="IM27" s="91"/>
      <c r="IN27" s="91"/>
      <c r="IO27" s="91"/>
      <c r="IP27" s="91"/>
      <c r="IQ27" s="91"/>
      <c r="IR27" s="91"/>
      <c r="IS27" s="91"/>
      <c r="IT27" s="91"/>
      <c r="IU27" s="91"/>
      <c r="IV27" s="91"/>
      <c r="IW27" s="91"/>
      <c r="IX27" s="91"/>
      <c r="IY27" s="91"/>
      <c r="IZ27" s="91"/>
      <c r="JA27" s="91"/>
      <c r="JB27" s="91"/>
      <c r="JC27" s="91"/>
      <c r="JD27" s="91"/>
      <c r="JE27" s="91"/>
      <c r="JF27" s="91"/>
      <c r="JG27" s="91"/>
      <c r="JH27" s="91"/>
      <c r="JI27" s="91"/>
      <c r="JJ27" s="91"/>
      <c r="JK27" s="91"/>
      <c r="JL27" s="91"/>
      <c r="JM27" s="91"/>
      <c r="JN27" s="91"/>
      <c r="JO27" s="91"/>
      <c r="JP27" s="91"/>
      <c r="JQ27" s="91"/>
      <c r="JR27" s="91"/>
      <c r="JS27" s="91"/>
      <c r="JT27" s="91"/>
      <c r="JU27" s="91"/>
      <c r="JV27" s="91"/>
      <c r="JW27" s="91"/>
      <c r="JX27" s="91"/>
      <c r="JY27" s="91"/>
      <c r="JZ27" s="91"/>
      <c r="KA27" s="91"/>
      <c r="KB27" s="91"/>
      <c r="KC27" s="91"/>
      <c r="KD27" s="91"/>
      <c r="KE27" s="91"/>
      <c r="KF27" s="91"/>
      <c r="KG27" s="91"/>
      <c r="KH27" s="91"/>
      <c r="KI27" s="91"/>
      <c r="KJ27" s="91"/>
      <c r="KK27" s="91"/>
      <c r="KL27" s="91"/>
      <c r="KM27" s="91"/>
      <c r="KN27" s="91"/>
      <c r="KO27" s="91"/>
      <c r="KP27" s="91"/>
      <c r="KQ27" s="91"/>
      <c r="KR27" s="91"/>
      <c r="KS27" s="91"/>
      <c r="KT27" s="91"/>
      <c r="KU27" s="91"/>
      <c r="KV27" s="91"/>
      <c r="KW27" s="91"/>
      <c r="KX27" s="91"/>
      <c r="KY27" s="91"/>
      <c r="KZ27" s="91"/>
      <c r="LA27" s="91"/>
      <c r="LB27" s="91"/>
      <c r="LC27" s="91"/>
      <c r="LD27" s="91"/>
      <c r="LE27" s="91"/>
      <c r="LF27" s="91"/>
      <c r="LG27" s="91"/>
      <c r="LH27" s="91"/>
      <c r="LI27" s="91"/>
      <c r="LJ27" s="91"/>
      <c r="LK27" s="91"/>
      <c r="LL27" s="91"/>
      <c r="LM27" s="91"/>
      <c r="LN27" s="91"/>
      <c r="LO27" s="91"/>
      <c r="LP27" s="91"/>
      <c r="LQ27" s="91"/>
      <c r="LR27" s="91"/>
      <c r="LS27" s="91"/>
      <c r="LT27" s="91"/>
      <c r="LU27" s="91"/>
      <c r="LV27" s="91"/>
      <c r="LW27" s="91"/>
      <c r="LX27" s="91"/>
      <c r="LY27" s="91"/>
      <c r="LZ27" s="91"/>
      <c r="MA27" s="91"/>
      <c r="MB27" s="91"/>
      <c r="MC27" s="91"/>
      <c r="MD27" s="91"/>
      <c r="ME27" s="91"/>
      <c r="MF27" s="91"/>
      <c r="MG27" s="91"/>
      <c r="MH27" s="91"/>
      <c r="MI27" s="91"/>
      <c r="MJ27" s="91"/>
      <c r="MK27" s="91"/>
      <c r="ML27" s="91"/>
      <c r="MM27" s="91"/>
      <c r="MN27" s="91"/>
      <c r="MO27" s="91"/>
      <c r="MP27" s="91"/>
      <c r="MQ27" s="91"/>
      <c r="MR27" s="91"/>
      <c r="MS27" s="91"/>
      <c r="MT27" s="91"/>
      <c r="MU27" s="91"/>
      <c r="MV27" s="91"/>
      <c r="MW27" s="91"/>
      <c r="MX27" s="91"/>
      <c r="MY27" s="91"/>
      <c r="MZ27" s="91"/>
      <c r="NA27" s="91"/>
      <c r="NB27" s="91"/>
      <c r="NC27" s="91"/>
      <c r="ND27" s="91"/>
      <c r="NE27" s="91"/>
      <c r="NF27" s="91"/>
      <c r="NG27" s="91"/>
      <c r="NH27" s="91"/>
      <c r="NI27" s="91"/>
      <c r="NJ27" s="91"/>
      <c r="NK27" s="91"/>
      <c r="NL27" s="91"/>
      <c r="NM27" s="91"/>
      <c r="NN27" s="91"/>
      <c r="NO27" s="91"/>
      <c r="NP27" s="91"/>
      <c r="NQ27" s="91"/>
      <c r="NR27" s="91"/>
      <c r="NS27" s="91"/>
      <c r="NT27" s="91"/>
      <c r="NU27" s="91"/>
      <c r="NV27" s="91"/>
      <c r="NW27" s="91"/>
      <c r="NX27" s="91"/>
      <c r="NY27" s="91"/>
      <c r="NZ27" s="91"/>
      <c r="OA27" s="91"/>
      <c r="OB27" s="91"/>
      <c r="OC27" s="91"/>
      <c r="OD27" s="91"/>
      <c r="OE27" s="91"/>
      <c r="OF27" s="91"/>
      <c r="OG27" s="91"/>
      <c r="OH27" s="91"/>
      <c r="OI27" s="91"/>
      <c r="OJ27" s="91"/>
      <c r="OK27" s="91"/>
      <c r="OL27" s="91"/>
      <c r="OM27" s="91"/>
      <c r="ON27" s="91"/>
      <c r="OO27" s="91"/>
      <c r="OP27" s="91"/>
      <c r="OQ27" s="91"/>
      <c r="OR27" s="91"/>
      <c r="OS27" s="91"/>
      <c r="OT27" s="91"/>
      <c r="OU27" s="91"/>
      <c r="OV27" s="91"/>
      <c r="OW27" s="91"/>
      <c r="OX27" s="91"/>
      <c r="OY27" s="91"/>
      <c r="OZ27" s="91"/>
      <c r="PA27" s="91"/>
      <c r="PB27" s="91"/>
      <c r="PC27" s="91"/>
      <c r="PD27" s="91"/>
      <c r="PE27" s="91"/>
      <c r="PF27" s="91"/>
      <c r="PG27" s="91"/>
      <c r="PH27" s="91"/>
      <c r="PI27" s="91"/>
      <c r="PJ27" s="91"/>
      <c r="PK27" s="91"/>
      <c r="PL27" s="91"/>
      <c r="PM27" s="91"/>
      <c r="PN27" s="91"/>
      <c r="PO27" s="91"/>
      <c r="PP27" s="91"/>
      <c r="PQ27" s="91"/>
      <c r="PR27" s="91"/>
      <c r="PS27" s="91"/>
      <c r="PT27" s="91"/>
      <c r="PU27" s="91"/>
      <c r="PV27" s="91"/>
      <c r="PW27" s="91"/>
      <c r="PX27" s="91"/>
      <c r="PY27" s="91"/>
      <c r="PZ27" s="91"/>
      <c r="QA27" s="91"/>
      <c r="QB27" s="91"/>
      <c r="QC27" s="91"/>
      <c r="QD27" s="91"/>
      <c r="QE27" s="91"/>
      <c r="QF27" s="91"/>
      <c r="QG27" s="91"/>
      <c r="QH27" s="91"/>
      <c r="QI27" s="91"/>
      <c r="QJ27" s="91"/>
      <c r="QK27" s="91"/>
      <c r="QL27" s="91"/>
      <c r="QM27" s="91"/>
      <c r="QN27" s="91"/>
      <c r="QO27" s="91"/>
      <c r="QP27" s="91"/>
      <c r="QQ27" s="91"/>
      <c r="QR27" s="91"/>
      <c r="QS27" s="91"/>
      <c r="QT27" s="91"/>
      <c r="QU27" s="91"/>
      <c r="QV27" s="91"/>
      <c r="QW27" s="91"/>
      <c r="QX27" s="91"/>
      <c r="QY27" s="91"/>
      <c r="QZ27" s="91"/>
      <c r="RA27" s="91"/>
      <c r="RB27" s="91"/>
      <c r="RC27" s="91"/>
      <c r="RD27" s="91"/>
      <c r="RE27" s="91"/>
      <c r="RF27" s="91"/>
      <c r="RG27" s="91"/>
      <c r="RH27" s="91"/>
      <c r="RI27" s="91"/>
      <c r="RJ27" s="91"/>
      <c r="RK27" s="91"/>
      <c r="RL27" s="91"/>
      <c r="RM27" s="91"/>
      <c r="RN27" s="91"/>
      <c r="RO27" s="91"/>
      <c r="RP27" s="91"/>
      <c r="RQ27" s="91"/>
      <c r="RR27" s="91"/>
      <c r="RS27" s="91"/>
      <c r="RT27" s="91"/>
      <c r="RU27" s="91"/>
      <c r="RV27" s="91"/>
      <c r="RW27" s="91"/>
      <c r="RX27" s="91"/>
      <c r="RY27" s="91"/>
      <c r="RZ27" s="91"/>
      <c r="SA27" s="91"/>
      <c r="SB27" s="91"/>
      <c r="SC27" s="91"/>
      <c r="SD27" s="91"/>
      <c r="SE27" s="91"/>
      <c r="SF27" s="91"/>
      <c r="SG27" s="91"/>
      <c r="SH27" s="91"/>
      <c r="SI27" s="91"/>
      <c r="SJ27" s="92"/>
      <c r="SK27" s="6"/>
    </row>
    <row r="28" ht="14.25" customHeight="1">
      <c r="A28" s="68"/>
      <c r="B28" s="109" t="s">
        <v>9</v>
      </c>
      <c r="C28" s="110"/>
      <c r="D28" s="111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  <c r="HP28" s="38"/>
      <c r="HQ28" s="38"/>
      <c r="HR28" s="38"/>
      <c r="HS28" s="38"/>
      <c r="HT28" s="38"/>
      <c r="HU28" s="38"/>
      <c r="HV28" s="38"/>
      <c r="HW28" s="38"/>
      <c r="HX28" s="38"/>
      <c r="HY28" s="38"/>
      <c r="HZ28" s="38"/>
      <c r="IA28" s="38"/>
      <c r="IB28" s="38"/>
      <c r="IC28" s="38"/>
      <c r="ID28" s="38"/>
      <c r="IE28" s="38"/>
      <c r="IF28" s="38"/>
      <c r="IG28" s="38"/>
      <c r="IH28" s="38"/>
      <c r="II28" s="38"/>
      <c r="IJ28" s="38"/>
      <c r="IK28" s="38"/>
      <c r="IL28" s="38"/>
      <c r="IM28" s="38"/>
      <c r="IN28" s="38"/>
      <c r="IO28" s="38"/>
      <c r="IP28" s="38"/>
      <c r="IQ28" s="38"/>
      <c r="IR28" s="38"/>
      <c r="IS28" s="38"/>
      <c r="IT28" s="38"/>
      <c r="IU28" s="38"/>
      <c r="IV28" s="38"/>
      <c r="IW28" s="38"/>
      <c r="IX28" s="38"/>
      <c r="IY28" s="38"/>
      <c r="IZ28" s="38"/>
      <c r="JA28" s="38"/>
      <c r="JB28" s="38"/>
      <c r="JC28" s="38"/>
      <c r="JD28" s="38"/>
      <c r="JE28" s="38"/>
      <c r="JF28" s="38"/>
      <c r="JG28" s="38"/>
      <c r="JH28" s="38"/>
      <c r="JI28" s="38"/>
      <c r="JJ28" s="38"/>
      <c r="JK28" s="38"/>
      <c r="JL28" s="38"/>
      <c r="JM28" s="38"/>
      <c r="JN28" s="38"/>
      <c r="JO28" s="38"/>
      <c r="JP28" s="38"/>
      <c r="JQ28" s="38"/>
      <c r="JR28" s="38"/>
      <c r="JS28" s="38"/>
      <c r="JT28" s="38"/>
      <c r="JU28" s="38"/>
      <c r="JV28" s="38"/>
      <c r="JW28" s="38"/>
      <c r="JX28" s="38"/>
      <c r="JY28" s="38"/>
      <c r="JZ28" s="38"/>
      <c r="KA28" s="38"/>
      <c r="KB28" s="38"/>
      <c r="KC28" s="38"/>
      <c r="KD28" s="38"/>
      <c r="KE28" s="38"/>
      <c r="KF28" s="38"/>
      <c r="KG28" s="38"/>
      <c r="KH28" s="38"/>
      <c r="KI28" s="38"/>
      <c r="KJ28" s="38"/>
      <c r="KK28" s="38"/>
      <c r="KL28" s="38"/>
      <c r="KM28" s="38"/>
      <c r="KN28" s="38"/>
      <c r="KO28" s="38"/>
      <c r="KP28" s="38"/>
      <c r="KQ28" s="38"/>
      <c r="KR28" s="38"/>
      <c r="KS28" s="38"/>
      <c r="KT28" s="38"/>
      <c r="KU28" s="38"/>
      <c r="KV28" s="38"/>
      <c r="KW28" s="38"/>
      <c r="KX28" s="38"/>
      <c r="KY28" s="38"/>
      <c r="KZ28" s="38"/>
      <c r="LA28" s="38"/>
      <c r="LB28" s="38"/>
      <c r="LC28" s="38"/>
      <c r="LD28" s="38"/>
      <c r="LE28" s="38"/>
      <c r="LF28" s="38"/>
      <c r="LG28" s="38"/>
      <c r="LH28" s="38"/>
      <c r="LI28" s="38"/>
      <c r="LJ28" s="38"/>
      <c r="LK28" s="38"/>
      <c r="LL28" s="38"/>
      <c r="LM28" s="38"/>
      <c r="LN28" s="38"/>
      <c r="LO28" s="38"/>
      <c r="LP28" s="38"/>
      <c r="LQ28" s="38"/>
      <c r="LR28" s="38"/>
      <c r="LS28" s="38"/>
      <c r="LT28" s="38"/>
      <c r="LU28" s="38"/>
      <c r="LV28" s="38"/>
      <c r="LW28" s="38"/>
      <c r="LX28" s="38"/>
      <c r="LY28" s="38"/>
      <c r="LZ28" s="38"/>
      <c r="MA28" s="38"/>
      <c r="MB28" s="38"/>
      <c r="MC28" s="38"/>
      <c r="MD28" s="38"/>
      <c r="ME28" s="38"/>
      <c r="MF28" s="38"/>
      <c r="MG28" s="38"/>
      <c r="MH28" s="38"/>
      <c r="MI28" s="38"/>
      <c r="MJ28" s="38"/>
      <c r="MK28" s="38"/>
      <c r="ML28" s="38"/>
      <c r="MM28" s="38"/>
      <c r="MN28" s="38"/>
      <c r="MO28" s="38"/>
      <c r="MP28" s="38"/>
      <c r="MQ28" s="38"/>
      <c r="MR28" s="38"/>
      <c r="MS28" s="38"/>
      <c r="MT28" s="38"/>
      <c r="MU28" s="38"/>
      <c r="MV28" s="38"/>
      <c r="MW28" s="38"/>
      <c r="MX28" s="38"/>
      <c r="MY28" s="38"/>
      <c r="MZ28" s="38"/>
      <c r="NA28" s="38"/>
      <c r="NB28" s="38"/>
      <c r="NC28" s="38"/>
      <c r="ND28" s="38"/>
      <c r="NE28" s="38"/>
      <c r="NF28" s="38"/>
      <c r="NG28" s="38"/>
      <c r="NH28" s="38"/>
      <c r="NI28" s="38"/>
      <c r="NJ28" s="38"/>
      <c r="NK28" s="38"/>
      <c r="NL28" s="38"/>
      <c r="NM28" s="38"/>
      <c r="NN28" s="38"/>
      <c r="NO28" s="38"/>
      <c r="NP28" s="38"/>
      <c r="NQ28" s="38"/>
      <c r="NR28" s="38"/>
      <c r="NS28" s="38"/>
      <c r="NT28" s="38"/>
      <c r="NU28" s="38"/>
      <c r="NV28" s="38"/>
      <c r="NW28" s="38"/>
      <c r="NX28" s="38"/>
      <c r="NY28" s="38"/>
      <c r="NZ28" s="38"/>
      <c r="OA28" s="38"/>
      <c r="OB28" s="38"/>
      <c r="OC28" s="38"/>
      <c r="OD28" s="38"/>
      <c r="OE28" s="38"/>
      <c r="OF28" s="38"/>
      <c r="OG28" s="38"/>
      <c r="OH28" s="38"/>
      <c r="OI28" s="38"/>
      <c r="OJ28" s="38"/>
      <c r="OK28" s="38"/>
      <c r="OL28" s="38"/>
      <c r="OM28" s="38"/>
      <c r="ON28" s="38"/>
      <c r="OO28" s="38"/>
      <c r="OP28" s="38"/>
      <c r="OQ28" s="38"/>
      <c r="OR28" s="38"/>
      <c r="OS28" s="38"/>
      <c r="OT28" s="38"/>
      <c r="OU28" s="38"/>
      <c r="OV28" s="38"/>
      <c r="OW28" s="38"/>
      <c r="OX28" s="38"/>
      <c r="OY28" s="38"/>
      <c r="OZ28" s="38"/>
      <c r="PA28" s="38"/>
      <c r="PB28" s="38"/>
      <c r="PC28" s="38"/>
      <c r="PD28" s="38"/>
      <c r="PE28" s="38"/>
      <c r="PF28" s="38"/>
      <c r="PG28" s="38"/>
      <c r="PH28" s="38"/>
      <c r="PI28" s="38"/>
      <c r="PJ28" s="38"/>
      <c r="PK28" s="38"/>
      <c r="PL28" s="38"/>
      <c r="PM28" s="38"/>
      <c r="PN28" s="38"/>
      <c r="PO28" s="38"/>
      <c r="PP28" s="38"/>
      <c r="PQ28" s="38"/>
      <c r="PR28" s="38"/>
      <c r="PS28" s="38"/>
      <c r="PT28" s="38"/>
      <c r="PU28" s="38"/>
      <c r="PV28" s="38"/>
      <c r="PW28" s="38"/>
      <c r="PX28" s="38"/>
      <c r="PY28" s="38"/>
      <c r="PZ28" s="38"/>
      <c r="QA28" s="38"/>
      <c r="QB28" s="38"/>
      <c r="QC28" s="38"/>
      <c r="QD28" s="38"/>
      <c r="QE28" s="38"/>
      <c r="QF28" s="38"/>
      <c r="QG28" s="38"/>
      <c r="QH28" s="38"/>
      <c r="QI28" s="38"/>
      <c r="QJ28" s="38"/>
      <c r="QK28" s="38"/>
      <c r="QL28" s="38"/>
      <c r="QM28" s="38"/>
      <c r="QN28" s="38"/>
      <c r="QO28" s="38"/>
      <c r="QP28" s="38"/>
      <c r="QQ28" s="38"/>
      <c r="QR28" s="38"/>
      <c r="QS28" s="38"/>
      <c r="QT28" s="38"/>
      <c r="QU28" s="38"/>
      <c r="QV28" s="38"/>
      <c r="QW28" s="38"/>
      <c r="QX28" s="38"/>
      <c r="QY28" s="38"/>
      <c r="QZ28" s="38"/>
      <c r="RA28" s="38"/>
      <c r="RB28" s="38"/>
      <c r="RC28" s="38"/>
      <c r="RD28" s="38"/>
      <c r="RE28" s="38"/>
      <c r="RF28" s="38"/>
      <c r="RG28" s="38"/>
      <c r="RH28" s="38"/>
      <c r="RI28" s="38"/>
      <c r="RJ28" s="38"/>
      <c r="RK28" s="38"/>
      <c r="RL28" s="38"/>
      <c r="RM28" s="38"/>
      <c r="RN28" s="38"/>
      <c r="RO28" s="38"/>
      <c r="RP28" s="38"/>
      <c r="RQ28" s="38"/>
      <c r="RR28" s="38"/>
      <c r="RS28" s="38"/>
      <c r="RT28" s="38"/>
      <c r="RU28" s="38"/>
      <c r="RV28" s="38"/>
      <c r="RW28" s="38"/>
      <c r="RX28" s="38"/>
      <c r="RY28" s="38"/>
      <c r="RZ28" s="38"/>
      <c r="SA28" s="38"/>
      <c r="SB28" s="38"/>
      <c r="SC28" s="38"/>
      <c r="SD28" s="38"/>
      <c r="SE28" s="38"/>
      <c r="SF28" s="38"/>
      <c r="SG28" s="38"/>
      <c r="SH28" s="38"/>
      <c r="SI28" s="38"/>
      <c r="SJ28" s="38"/>
      <c r="SK28" s="6"/>
    </row>
    <row r="29" ht="14.25" customHeight="1">
      <c r="A29" s="72" t="s">
        <v>567</v>
      </c>
      <c r="B29" s="39" t="s">
        <v>589</v>
      </c>
      <c r="C29" s="77"/>
      <c r="D29" s="74">
        <f t="shared" ref="D29:D61" si="4">C29+SUM(E29:SJ29)</f>
        <v>4938.3</v>
      </c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112">
        <v>4122.3</v>
      </c>
      <c r="AA29" s="112"/>
      <c r="AB29" s="112">
        <v>816.0</v>
      </c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8"/>
      <c r="CB29" s="78"/>
      <c r="CC29" s="78"/>
      <c r="CD29" s="78"/>
      <c r="CE29" s="78"/>
      <c r="CF29" s="78"/>
      <c r="CG29" s="78"/>
      <c r="CH29" s="78"/>
      <c r="CI29" s="78"/>
      <c r="CJ29" s="78"/>
      <c r="CK29" s="78"/>
      <c r="CL29" s="78"/>
      <c r="CM29" s="78"/>
      <c r="CN29" s="78"/>
      <c r="CO29" s="78"/>
      <c r="CP29" s="78"/>
      <c r="CQ29" s="78"/>
      <c r="CR29" s="78"/>
      <c r="CS29" s="78"/>
      <c r="CT29" s="78"/>
      <c r="CU29" s="78"/>
      <c r="CV29" s="78"/>
      <c r="CW29" s="78"/>
      <c r="CX29" s="78"/>
      <c r="CY29" s="78"/>
      <c r="CZ29" s="78"/>
      <c r="DA29" s="78"/>
      <c r="DB29" s="78"/>
      <c r="DC29" s="78"/>
      <c r="DD29" s="78"/>
      <c r="DE29" s="78"/>
      <c r="DF29" s="78"/>
      <c r="DG29" s="78"/>
      <c r="DH29" s="78"/>
      <c r="DI29" s="78"/>
      <c r="DJ29" s="78"/>
      <c r="DK29" s="78"/>
      <c r="DL29" s="78"/>
      <c r="DM29" s="78"/>
      <c r="DN29" s="78"/>
      <c r="DO29" s="78"/>
      <c r="DP29" s="78"/>
      <c r="DQ29" s="78"/>
      <c r="DR29" s="78"/>
      <c r="DS29" s="78"/>
      <c r="DT29" s="78"/>
      <c r="DU29" s="78"/>
      <c r="DV29" s="78"/>
      <c r="DW29" s="78"/>
      <c r="DX29" s="78"/>
      <c r="DY29" s="78"/>
      <c r="DZ29" s="78"/>
      <c r="EA29" s="78"/>
      <c r="EB29" s="78"/>
      <c r="EC29" s="78"/>
      <c r="ED29" s="78"/>
      <c r="EE29" s="78"/>
      <c r="EF29" s="78"/>
      <c r="EG29" s="78"/>
      <c r="EH29" s="78"/>
      <c r="EI29" s="78"/>
      <c r="EJ29" s="78"/>
      <c r="EK29" s="78"/>
      <c r="EL29" s="78"/>
      <c r="EM29" s="78"/>
      <c r="EN29" s="78"/>
      <c r="EO29" s="78"/>
      <c r="EP29" s="78"/>
      <c r="EQ29" s="78"/>
      <c r="ER29" s="78"/>
      <c r="ES29" s="78"/>
      <c r="ET29" s="78"/>
      <c r="EU29" s="78"/>
      <c r="EV29" s="78"/>
      <c r="EW29" s="78"/>
      <c r="EX29" s="78"/>
      <c r="EY29" s="78"/>
      <c r="EZ29" s="78"/>
      <c r="FA29" s="78"/>
      <c r="FB29" s="78"/>
      <c r="FC29" s="78"/>
      <c r="FD29" s="78"/>
      <c r="FE29" s="78"/>
      <c r="FF29" s="78"/>
      <c r="FG29" s="78"/>
      <c r="FH29" s="78"/>
      <c r="FI29" s="78"/>
      <c r="FJ29" s="78"/>
      <c r="FK29" s="78"/>
      <c r="FL29" s="78"/>
      <c r="FM29" s="78"/>
      <c r="FN29" s="78"/>
      <c r="FO29" s="78"/>
      <c r="FP29" s="78"/>
      <c r="FQ29" s="78"/>
      <c r="FR29" s="78"/>
      <c r="FS29" s="78"/>
      <c r="FT29" s="78"/>
      <c r="FU29" s="78"/>
      <c r="FV29" s="78"/>
      <c r="FW29" s="78"/>
      <c r="FX29" s="78"/>
      <c r="FY29" s="78"/>
      <c r="FZ29" s="78"/>
      <c r="GA29" s="78"/>
      <c r="GB29" s="78"/>
      <c r="GC29" s="78"/>
      <c r="GD29" s="78"/>
      <c r="GE29" s="78"/>
      <c r="GF29" s="78"/>
      <c r="GG29" s="78"/>
      <c r="GH29" s="78"/>
      <c r="GI29" s="78"/>
      <c r="GJ29" s="78"/>
      <c r="GK29" s="78"/>
      <c r="GL29" s="78"/>
      <c r="GM29" s="78"/>
      <c r="GN29" s="78"/>
      <c r="GO29" s="78"/>
      <c r="GP29" s="78"/>
      <c r="GQ29" s="78"/>
      <c r="GR29" s="78"/>
      <c r="GS29" s="78"/>
      <c r="GT29" s="78"/>
      <c r="GU29" s="78"/>
      <c r="GV29" s="78"/>
      <c r="GW29" s="78"/>
      <c r="GX29" s="78"/>
      <c r="GY29" s="78"/>
      <c r="GZ29" s="78"/>
      <c r="HA29" s="78"/>
      <c r="HB29" s="78"/>
      <c r="HC29" s="78"/>
      <c r="HD29" s="78"/>
      <c r="HE29" s="78"/>
      <c r="HF29" s="78"/>
      <c r="HG29" s="78"/>
      <c r="HH29" s="78"/>
      <c r="HI29" s="78"/>
      <c r="HJ29" s="78"/>
      <c r="HK29" s="78"/>
      <c r="HL29" s="78"/>
      <c r="HM29" s="78"/>
      <c r="HN29" s="78"/>
      <c r="HO29" s="78"/>
      <c r="HP29" s="78"/>
      <c r="HQ29" s="78"/>
      <c r="HR29" s="78"/>
      <c r="HS29" s="78"/>
      <c r="HT29" s="78"/>
      <c r="HU29" s="78"/>
      <c r="HV29" s="78"/>
      <c r="HW29" s="78"/>
      <c r="HX29" s="78"/>
      <c r="HY29" s="78"/>
      <c r="HZ29" s="78"/>
      <c r="IA29" s="78"/>
      <c r="IB29" s="78"/>
      <c r="IC29" s="78"/>
      <c r="ID29" s="78"/>
      <c r="IE29" s="78"/>
      <c r="IF29" s="78"/>
      <c r="IG29" s="78"/>
      <c r="IH29" s="78"/>
      <c r="II29" s="78"/>
      <c r="IJ29" s="78"/>
      <c r="IK29" s="78"/>
      <c r="IL29" s="78"/>
      <c r="IM29" s="78"/>
      <c r="IN29" s="78"/>
      <c r="IO29" s="78"/>
      <c r="IP29" s="78"/>
      <c r="IQ29" s="78"/>
      <c r="IR29" s="78"/>
      <c r="IS29" s="78"/>
      <c r="IT29" s="78"/>
      <c r="IU29" s="78"/>
      <c r="IV29" s="78"/>
      <c r="IW29" s="78"/>
      <c r="IX29" s="78"/>
      <c r="IY29" s="78"/>
      <c r="IZ29" s="78"/>
      <c r="JA29" s="78"/>
      <c r="JB29" s="78"/>
      <c r="JC29" s="78"/>
      <c r="JD29" s="78"/>
      <c r="JE29" s="78"/>
      <c r="JF29" s="78"/>
      <c r="JG29" s="78"/>
      <c r="JH29" s="78"/>
      <c r="JI29" s="78"/>
      <c r="JJ29" s="78"/>
      <c r="JK29" s="78"/>
      <c r="JL29" s="78"/>
      <c r="JM29" s="78"/>
      <c r="JN29" s="78"/>
      <c r="JO29" s="78"/>
      <c r="JP29" s="78"/>
      <c r="JQ29" s="78"/>
      <c r="JR29" s="78"/>
      <c r="JS29" s="78"/>
      <c r="JT29" s="78"/>
      <c r="JU29" s="78"/>
      <c r="JV29" s="78"/>
      <c r="JW29" s="78"/>
      <c r="JX29" s="78"/>
      <c r="JY29" s="78"/>
      <c r="JZ29" s="78"/>
      <c r="KA29" s="78"/>
      <c r="KB29" s="78"/>
      <c r="KC29" s="78"/>
      <c r="KD29" s="78"/>
      <c r="KE29" s="78"/>
      <c r="KF29" s="78"/>
      <c r="KG29" s="78"/>
      <c r="KH29" s="78"/>
      <c r="KI29" s="78"/>
      <c r="KJ29" s="78"/>
      <c r="KK29" s="78"/>
      <c r="KL29" s="78"/>
      <c r="KM29" s="78"/>
      <c r="KN29" s="78"/>
      <c r="KO29" s="78"/>
      <c r="KP29" s="78"/>
      <c r="KQ29" s="78"/>
      <c r="KR29" s="78"/>
      <c r="KS29" s="78"/>
      <c r="KT29" s="78"/>
      <c r="KU29" s="78"/>
      <c r="KV29" s="78"/>
      <c r="KW29" s="78"/>
      <c r="KX29" s="78"/>
      <c r="KY29" s="78"/>
      <c r="KZ29" s="78"/>
      <c r="LA29" s="78"/>
      <c r="LB29" s="78"/>
      <c r="LC29" s="78"/>
      <c r="LD29" s="78"/>
      <c r="LE29" s="78"/>
      <c r="LF29" s="78"/>
      <c r="LG29" s="78"/>
      <c r="LH29" s="78"/>
      <c r="LI29" s="78"/>
      <c r="LJ29" s="78"/>
      <c r="LK29" s="78"/>
      <c r="LL29" s="78"/>
      <c r="LM29" s="78"/>
      <c r="LN29" s="78"/>
      <c r="LO29" s="78"/>
      <c r="LP29" s="78"/>
      <c r="LQ29" s="78"/>
      <c r="LR29" s="78"/>
      <c r="LS29" s="78"/>
      <c r="LT29" s="78"/>
      <c r="LU29" s="78"/>
      <c r="LV29" s="78"/>
      <c r="LW29" s="78"/>
      <c r="LX29" s="78"/>
      <c r="LY29" s="78"/>
      <c r="LZ29" s="78"/>
      <c r="MA29" s="78"/>
      <c r="MB29" s="78"/>
      <c r="MC29" s="78"/>
      <c r="MD29" s="78"/>
      <c r="ME29" s="78"/>
      <c r="MF29" s="78"/>
      <c r="MG29" s="78"/>
      <c r="MH29" s="78"/>
      <c r="MI29" s="78"/>
      <c r="MJ29" s="78"/>
      <c r="MK29" s="78"/>
      <c r="ML29" s="78"/>
      <c r="MM29" s="78"/>
      <c r="MN29" s="78"/>
      <c r="MO29" s="78"/>
      <c r="MP29" s="78"/>
      <c r="MQ29" s="78"/>
      <c r="MR29" s="78"/>
      <c r="MS29" s="78"/>
      <c r="MT29" s="78"/>
      <c r="MU29" s="78"/>
      <c r="MV29" s="78"/>
      <c r="MW29" s="78"/>
      <c r="MX29" s="78"/>
      <c r="MY29" s="78"/>
      <c r="MZ29" s="78"/>
      <c r="NA29" s="78"/>
      <c r="NB29" s="78"/>
      <c r="NC29" s="78"/>
      <c r="ND29" s="78"/>
      <c r="NE29" s="78"/>
      <c r="NF29" s="78"/>
      <c r="NG29" s="78"/>
      <c r="NH29" s="78"/>
      <c r="NI29" s="78"/>
      <c r="NJ29" s="78"/>
      <c r="NK29" s="78"/>
      <c r="NL29" s="78"/>
      <c r="NM29" s="78"/>
      <c r="NN29" s="78"/>
      <c r="NO29" s="78"/>
      <c r="NP29" s="78"/>
      <c r="NQ29" s="78"/>
      <c r="NR29" s="78"/>
      <c r="NS29" s="78"/>
      <c r="NT29" s="78"/>
      <c r="NU29" s="78"/>
      <c r="NV29" s="78"/>
      <c r="NW29" s="78"/>
      <c r="NX29" s="78"/>
      <c r="NY29" s="78"/>
      <c r="NZ29" s="78"/>
      <c r="OA29" s="78"/>
      <c r="OB29" s="78"/>
      <c r="OC29" s="78"/>
      <c r="OD29" s="78"/>
      <c r="OE29" s="78"/>
      <c r="OF29" s="78"/>
      <c r="OG29" s="78"/>
      <c r="OH29" s="78"/>
      <c r="OI29" s="78"/>
      <c r="OJ29" s="78"/>
      <c r="OK29" s="78"/>
      <c r="OL29" s="78"/>
      <c r="OM29" s="78"/>
      <c r="ON29" s="78"/>
      <c r="OO29" s="78"/>
      <c r="OP29" s="78"/>
      <c r="OQ29" s="78"/>
      <c r="OR29" s="78"/>
      <c r="OS29" s="78"/>
      <c r="OT29" s="78"/>
      <c r="OU29" s="78"/>
      <c r="OV29" s="78"/>
      <c r="OW29" s="78"/>
      <c r="OX29" s="78"/>
      <c r="OY29" s="78"/>
      <c r="OZ29" s="78"/>
      <c r="PA29" s="78"/>
      <c r="PB29" s="78"/>
      <c r="PC29" s="78"/>
      <c r="PD29" s="78"/>
      <c r="PE29" s="78"/>
      <c r="PF29" s="78"/>
      <c r="PG29" s="78"/>
      <c r="PH29" s="78"/>
      <c r="PI29" s="78"/>
      <c r="PJ29" s="78"/>
      <c r="PK29" s="78"/>
      <c r="PL29" s="78"/>
      <c r="PM29" s="78"/>
      <c r="PN29" s="78"/>
      <c r="PO29" s="78"/>
      <c r="PP29" s="78"/>
      <c r="PQ29" s="78"/>
      <c r="PR29" s="78"/>
      <c r="PS29" s="78"/>
      <c r="PT29" s="78"/>
      <c r="PU29" s="78"/>
      <c r="PV29" s="78"/>
      <c r="PW29" s="78"/>
      <c r="PX29" s="78"/>
      <c r="PY29" s="78"/>
      <c r="PZ29" s="78"/>
      <c r="QA29" s="78"/>
      <c r="QB29" s="78"/>
      <c r="QC29" s="78"/>
      <c r="QD29" s="78"/>
      <c r="QE29" s="78"/>
      <c r="QF29" s="78"/>
      <c r="QG29" s="78"/>
      <c r="QH29" s="78"/>
      <c r="QI29" s="78"/>
      <c r="QJ29" s="78"/>
      <c r="QK29" s="78"/>
      <c r="QL29" s="78"/>
      <c r="QM29" s="78"/>
      <c r="QN29" s="78"/>
      <c r="QO29" s="78"/>
      <c r="QP29" s="78"/>
      <c r="QQ29" s="78"/>
      <c r="QR29" s="78"/>
      <c r="QS29" s="78"/>
      <c r="QT29" s="78"/>
      <c r="QU29" s="78"/>
      <c r="QV29" s="78"/>
      <c r="QW29" s="78"/>
      <c r="QX29" s="78"/>
      <c r="QY29" s="78"/>
      <c r="QZ29" s="78"/>
      <c r="RA29" s="78"/>
      <c r="RB29" s="78"/>
      <c r="RC29" s="78"/>
      <c r="RD29" s="78"/>
      <c r="RE29" s="78"/>
      <c r="RF29" s="78"/>
      <c r="RG29" s="78"/>
      <c r="RH29" s="78"/>
      <c r="RI29" s="78"/>
      <c r="RJ29" s="78"/>
      <c r="RK29" s="78"/>
      <c r="RL29" s="78"/>
      <c r="RM29" s="78"/>
      <c r="RN29" s="78"/>
      <c r="RO29" s="78"/>
      <c r="RP29" s="78"/>
      <c r="RQ29" s="78"/>
      <c r="RR29" s="78"/>
      <c r="RS29" s="78"/>
      <c r="RT29" s="78"/>
      <c r="RU29" s="78"/>
      <c r="RV29" s="78"/>
      <c r="RW29" s="78"/>
      <c r="RX29" s="78"/>
      <c r="RY29" s="78"/>
      <c r="RZ29" s="78"/>
      <c r="SA29" s="78"/>
      <c r="SB29" s="78"/>
      <c r="SC29" s="78"/>
      <c r="SD29" s="78"/>
      <c r="SE29" s="78"/>
      <c r="SF29" s="78"/>
      <c r="SG29" s="78"/>
      <c r="SH29" s="78"/>
      <c r="SI29" s="78"/>
      <c r="SJ29" s="79"/>
      <c r="SK29" s="6"/>
    </row>
    <row r="30" ht="14.25" customHeight="1">
      <c r="A30" s="76" t="s">
        <v>567</v>
      </c>
      <c r="B30" s="39" t="s">
        <v>590</v>
      </c>
      <c r="C30" s="77"/>
      <c r="D30" s="74">
        <f t="shared" si="4"/>
        <v>0</v>
      </c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8"/>
      <c r="BM30" s="78"/>
      <c r="BN30" s="78"/>
      <c r="BO30" s="78"/>
      <c r="BP30" s="78"/>
      <c r="BQ30" s="78"/>
      <c r="BR30" s="78"/>
      <c r="BS30" s="78"/>
      <c r="BT30" s="78"/>
      <c r="BU30" s="78"/>
      <c r="BV30" s="78"/>
      <c r="BW30" s="78"/>
      <c r="BX30" s="78"/>
      <c r="BY30" s="78"/>
      <c r="BZ30" s="78"/>
      <c r="CA30" s="78"/>
      <c r="CB30" s="78"/>
      <c r="CC30" s="78"/>
      <c r="CD30" s="78"/>
      <c r="CE30" s="78"/>
      <c r="CF30" s="78"/>
      <c r="CG30" s="78"/>
      <c r="CH30" s="78"/>
      <c r="CI30" s="78"/>
      <c r="CJ30" s="78"/>
      <c r="CK30" s="78"/>
      <c r="CL30" s="78"/>
      <c r="CM30" s="78"/>
      <c r="CN30" s="78"/>
      <c r="CO30" s="78"/>
      <c r="CP30" s="78"/>
      <c r="CQ30" s="78"/>
      <c r="CR30" s="78"/>
      <c r="CS30" s="78"/>
      <c r="CT30" s="78"/>
      <c r="CU30" s="78"/>
      <c r="CV30" s="78"/>
      <c r="CW30" s="78"/>
      <c r="CX30" s="78"/>
      <c r="CY30" s="78"/>
      <c r="CZ30" s="78"/>
      <c r="DA30" s="78"/>
      <c r="DB30" s="78"/>
      <c r="DC30" s="78"/>
      <c r="DD30" s="78"/>
      <c r="DE30" s="78"/>
      <c r="DF30" s="78"/>
      <c r="DG30" s="78"/>
      <c r="DH30" s="78"/>
      <c r="DI30" s="78"/>
      <c r="DJ30" s="78"/>
      <c r="DK30" s="78"/>
      <c r="DL30" s="78"/>
      <c r="DM30" s="78"/>
      <c r="DN30" s="78"/>
      <c r="DO30" s="78"/>
      <c r="DP30" s="78"/>
      <c r="DQ30" s="78"/>
      <c r="DR30" s="78"/>
      <c r="DS30" s="78"/>
      <c r="DT30" s="78"/>
      <c r="DU30" s="78"/>
      <c r="DV30" s="78"/>
      <c r="DW30" s="78"/>
      <c r="DX30" s="78"/>
      <c r="DY30" s="78"/>
      <c r="DZ30" s="78"/>
      <c r="EA30" s="78"/>
      <c r="EB30" s="78"/>
      <c r="EC30" s="78"/>
      <c r="ED30" s="78"/>
      <c r="EE30" s="78"/>
      <c r="EF30" s="78"/>
      <c r="EG30" s="78"/>
      <c r="EH30" s="78"/>
      <c r="EI30" s="78"/>
      <c r="EJ30" s="78"/>
      <c r="EK30" s="78"/>
      <c r="EL30" s="78"/>
      <c r="EM30" s="78"/>
      <c r="EN30" s="78"/>
      <c r="EO30" s="78"/>
      <c r="EP30" s="78"/>
      <c r="EQ30" s="78"/>
      <c r="ER30" s="78"/>
      <c r="ES30" s="78"/>
      <c r="ET30" s="78"/>
      <c r="EU30" s="78"/>
      <c r="EV30" s="78"/>
      <c r="EW30" s="78"/>
      <c r="EX30" s="78"/>
      <c r="EY30" s="78"/>
      <c r="EZ30" s="78"/>
      <c r="FA30" s="78"/>
      <c r="FB30" s="78"/>
      <c r="FC30" s="78"/>
      <c r="FD30" s="78"/>
      <c r="FE30" s="78"/>
      <c r="FF30" s="78"/>
      <c r="FG30" s="78"/>
      <c r="FH30" s="78"/>
      <c r="FI30" s="78"/>
      <c r="FJ30" s="78"/>
      <c r="FK30" s="78"/>
      <c r="FL30" s="78"/>
      <c r="FM30" s="78"/>
      <c r="FN30" s="78"/>
      <c r="FO30" s="78"/>
      <c r="FP30" s="78"/>
      <c r="FQ30" s="78"/>
      <c r="FR30" s="78"/>
      <c r="FS30" s="78"/>
      <c r="FT30" s="78"/>
      <c r="FU30" s="78"/>
      <c r="FV30" s="78"/>
      <c r="FW30" s="78"/>
      <c r="FX30" s="78"/>
      <c r="FY30" s="78"/>
      <c r="FZ30" s="78"/>
      <c r="GA30" s="78"/>
      <c r="GB30" s="78"/>
      <c r="GC30" s="78"/>
      <c r="GD30" s="78"/>
      <c r="GE30" s="78"/>
      <c r="GF30" s="78"/>
      <c r="GG30" s="78"/>
      <c r="GH30" s="78"/>
      <c r="GI30" s="78"/>
      <c r="GJ30" s="78"/>
      <c r="GK30" s="78"/>
      <c r="GL30" s="78"/>
      <c r="GM30" s="78"/>
      <c r="GN30" s="78"/>
      <c r="GO30" s="78"/>
      <c r="GP30" s="78"/>
      <c r="GQ30" s="78"/>
      <c r="GR30" s="78"/>
      <c r="GS30" s="78"/>
      <c r="GT30" s="78"/>
      <c r="GU30" s="78"/>
      <c r="GV30" s="78"/>
      <c r="GW30" s="78"/>
      <c r="GX30" s="78"/>
      <c r="GY30" s="78"/>
      <c r="GZ30" s="78"/>
      <c r="HA30" s="78"/>
      <c r="HB30" s="78"/>
      <c r="HC30" s="78"/>
      <c r="HD30" s="78"/>
      <c r="HE30" s="78"/>
      <c r="HF30" s="78"/>
      <c r="HG30" s="78"/>
      <c r="HH30" s="78"/>
      <c r="HI30" s="78"/>
      <c r="HJ30" s="78"/>
      <c r="HK30" s="78"/>
      <c r="HL30" s="78"/>
      <c r="HM30" s="78"/>
      <c r="HN30" s="78"/>
      <c r="HO30" s="78"/>
      <c r="HP30" s="78"/>
      <c r="HQ30" s="78"/>
      <c r="HR30" s="78"/>
      <c r="HS30" s="78"/>
      <c r="HT30" s="78"/>
      <c r="HU30" s="78"/>
      <c r="HV30" s="78"/>
      <c r="HW30" s="78"/>
      <c r="HX30" s="78"/>
      <c r="HY30" s="78"/>
      <c r="HZ30" s="78"/>
      <c r="IA30" s="78"/>
      <c r="IB30" s="78"/>
      <c r="IC30" s="78"/>
      <c r="ID30" s="78"/>
      <c r="IE30" s="78"/>
      <c r="IF30" s="78"/>
      <c r="IG30" s="78"/>
      <c r="IH30" s="78"/>
      <c r="II30" s="78"/>
      <c r="IJ30" s="78"/>
      <c r="IK30" s="78"/>
      <c r="IL30" s="78"/>
      <c r="IM30" s="78"/>
      <c r="IN30" s="78"/>
      <c r="IO30" s="78"/>
      <c r="IP30" s="78"/>
      <c r="IQ30" s="78"/>
      <c r="IR30" s="78"/>
      <c r="IS30" s="78"/>
      <c r="IT30" s="78"/>
      <c r="IU30" s="78"/>
      <c r="IV30" s="78"/>
      <c r="IW30" s="78"/>
      <c r="IX30" s="78"/>
      <c r="IY30" s="78"/>
      <c r="IZ30" s="78"/>
      <c r="JA30" s="78"/>
      <c r="JB30" s="78"/>
      <c r="JC30" s="78"/>
      <c r="JD30" s="78"/>
      <c r="JE30" s="78"/>
      <c r="JF30" s="78"/>
      <c r="JG30" s="78"/>
      <c r="JH30" s="78"/>
      <c r="JI30" s="78"/>
      <c r="JJ30" s="78"/>
      <c r="JK30" s="78"/>
      <c r="JL30" s="78"/>
      <c r="JM30" s="78"/>
      <c r="JN30" s="78"/>
      <c r="JO30" s="78"/>
      <c r="JP30" s="78"/>
      <c r="JQ30" s="78"/>
      <c r="JR30" s="78"/>
      <c r="JS30" s="78"/>
      <c r="JT30" s="78"/>
      <c r="JU30" s="78"/>
      <c r="JV30" s="78"/>
      <c r="JW30" s="78"/>
      <c r="JX30" s="78"/>
      <c r="JY30" s="78"/>
      <c r="JZ30" s="78"/>
      <c r="KA30" s="78"/>
      <c r="KB30" s="78"/>
      <c r="KC30" s="78"/>
      <c r="KD30" s="78"/>
      <c r="KE30" s="78"/>
      <c r="KF30" s="78"/>
      <c r="KG30" s="78"/>
      <c r="KH30" s="78"/>
      <c r="KI30" s="78"/>
      <c r="KJ30" s="78"/>
      <c r="KK30" s="78"/>
      <c r="KL30" s="78"/>
      <c r="KM30" s="78"/>
      <c r="KN30" s="78"/>
      <c r="KO30" s="78"/>
      <c r="KP30" s="78"/>
      <c r="KQ30" s="78"/>
      <c r="KR30" s="78"/>
      <c r="KS30" s="78"/>
      <c r="KT30" s="78"/>
      <c r="KU30" s="78"/>
      <c r="KV30" s="78"/>
      <c r="KW30" s="78"/>
      <c r="KX30" s="78"/>
      <c r="KY30" s="78"/>
      <c r="KZ30" s="78"/>
      <c r="LA30" s="78"/>
      <c r="LB30" s="78"/>
      <c r="LC30" s="78"/>
      <c r="LD30" s="78"/>
      <c r="LE30" s="78"/>
      <c r="LF30" s="78"/>
      <c r="LG30" s="78"/>
      <c r="LH30" s="78"/>
      <c r="LI30" s="78"/>
      <c r="LJ30" s="78"/>
      <c r="LK30" s="78"/>
      <c r="LL30" s="78"/>
      <c r="LM30" s="78"/>
      <c r="LN30" s="78"/>
      <c r="LO30" s="78"/>
      <c r="LP30" s="78"/>
      <c r="LQ30" s="78"/>
      <c r="LR30" s="78"/>
      <c r="LS30" s="78"/>
      <c r="LT30" s="78"/>
      <c r="LU30" s="78"/>
      <c r="LV30" s="78"/>
      <c r="LW30" s="78"/>
      <c r="LX30" s="78"/>
      <c r="LY30" s="78"/>
      <c r="LZ30" s="78"/>
      <c r="MA30" s="78"/>
      <c r="MB30" s="78"/>
      <c r="MC30" s="78"/>
      <c r="MD30" s="78"/>
      <c r="ME30" s="78"/>
      <c r="MF30" s="78"/>
      <c r="MG30" s="78"/>
      <c r="MH30" s="78"/>
      <c r="MI30" s="78"/>
      <c r="MJ30" s="78"/>
      <c r="MK30" s="78"/>
      <c r="ML30" s="78"/>
      <c r="MM30" s="78"/>
      <c r="MN30" s="78"/>
      <c r="MO30" s="78"/>
      <c r="MP30" s="78"/>
      <c r="MQ30" s="78"/>
      <c r="MR30" s="78"/>
      <c r="MS30" s="78"/>
      <c r="MT30" s="78"/>
      <c r="MU30" s="78"/>
      <c r="MV30" s="78"/>
      <c r="MW30" s="78"/>
      <c r="MX30" s="78"/>
      <c r="MY30" s="78"/>
      <c r="MZ30" s="78"/>
      <c r="NA30" s="78"/>
      <c r="NB30" s="78"/>
      <c r="NC30" s="78"/>
      <c r="ND30" s="78"/>
      <c r="NE30" s="78"/>
      <c r="NF30" s="78"/>
      <c r="NG30" s="78"/>
      <c r="NH30" s="78"/>
      <c r="NI30" s="78"/>
      <c r="NJ30" s="78"/>
      <c r="NK30" s="78"/>
      <c r="NL30" s="78"/>
      <c r="NM30" s="78"/>
      <c r="NN30" s="78"/>
      <c r="NO30" s="78"/>
      <c r="NP30" s="78"/>
      <c r="NQ30" s="78"/>
      <c r="NR30" s="78"/>
      <c r="NS30" s="78"/>
      <c r="NT30" s="78"/>
      <c r="NU30" s="78"/>
      <c r="NV30" s="78"/>
      <c r="NW30" s="78"/>
      <c r="NX30" s="78"/>
      <c r="NY30" s="78"/>
      <c r="NZ30" s="78"/>
      <c r="OA30" s="78"/>
      <c r="OB30" s="78"/>
      <c r="OC30" s="78"/>
      <c r="OD30" s="78"/>
      <c r="OE30" s="78"/>
      <c r="OF30" s="78"/>
      <c r="OG30" s="78"/>
      <c r="OH30" s="78"/>
      <c r="OI30" s="78"/>
      <c r="OJ30" s="78"/>
      <c r="OK30" s="78"/>
      <c r="OL30" s="78"/>
      <c r="OM30" s="78"/>
      <c r="ON30" s="78"/>
      <c r="OO30" s="78"/>
      <c r="OP30" s="78"/>
      <c r="OQ30" s="78"/>
      <c r="OR30" s="78"/>
      <c r="OS30" s="78"/>
      <c r="OT30" s="78"/>
      <c r="OU30" s="78"/>
      <c r="OV30" s="78"/>
      <c r="OW30" s="78"/>
      <c r="OX30" s="78"/>
      <c r="OY30" s="78"/>
      <c r="OZ30" s="78"/>
      <c r="PA30" s="78"/>
      <c r="PB30" s="78"/>
      <c r="PC30" s="78"/>
      <c r="PD30" s="78"/>
      <c r="PE30" s="78"/>
      <c r="PF30" s="78"/>
      <c r="PG30" s="78"/>
      <c r="PH30" s="78"/>
      <c r="PI30" s="78"/>
      <c r="PJ30" s="78"/>
      <c r="PK30" s="78"/>
      <c r="PL30" s="78"/>
      <c r="PM30" s="78"/>
      <c r="PN30" s="78"/>
      <c r="PO30" s="78"/>
      <c r="PP30" s="78"/>
      <c r="PQ30" s="78"/>
      <c r="PR30" s="78"/>
      <c r="PS30" s="78"/>
      <c r="PT30" s="78"/>
      <c r="PU30" s="78"/>
      <c r="PV30" s="78"/>
      <c r="PW30" s="78"/>
      <c r="PX30" s="78"/>
      <c r="PY30" s="78"/>
      <c r="PZ30" s="78"/>
      <c r="QA30" s="78"/>
      <c r="QB30" s="78"/>
      <c r="QC30" s="78"/>
      <c r="QD30" s="78"/>
      <c r="QE30" s="78"/>
      <c r="QF30" s="78"/>
      <c r="QG30" s="78"/>
      <c r="QH30" s="78"/>
      <c r="QI30" s="78"/>
      <c r="QJ30" s="78"/>
      <c r="QK30" s="78"/>
      <c r="QL30" s="78"/>
      <c r="QM30" s="78"/>
      <c r="QN30" s="78"/>
      <c r="QO30" s="78"/>
      <c r="QP30" s="78"/>
      <c r="QQ30" s="78"/>
      <c r="QR30" s="78"/>
      <c r="QS30" s="78"/>
      <c r="QT30" s="78"/>
      <c r="QU30" s="78"/>
      <c r="QV30" s="78"/>
      <c r="QW30" s="78"/>
      <c r="QX30" s="78"/>
      <c r="QY30" s="78"/>
      <c r="QZ30" s="78"/>
      <c r="RA30" s="78"/>
      <c r="RB30" s="78"/>
      <c r="RC30" s="78"/>
      <c r="RD30" s="78"/>
      <c r="RE30" s="78"/>
      <c r="RF30" s="78"/>
      <c r="RG30" s="78"/>
      <c r="RH30" s="78"/>
      <c r="RI30" s="78"/>
      <c r="RJ30" s="78"/>
      <c r="RK30" s="78"/>
      <c r="RL30" s="78"/>
      <c r="RM30" s="78"/>
      <c r="RN30" s="78"/>
      <c r="RO30" s="78"/>
      <c r="RP30" s="78"/>
      <c r="RQ30" s="78"/>
      <c r="RR30" s="78"/>
      <c r="RS30" s="78"/>
      <c r="RT30" s="78"/>
      <c r="RU30" s="78"/>
      <c r="RV30" s="78"/>
      <c r="RW30" s="78"/>
      <c r="RX30" s="78"/>
      <c r="RY30" s="78"/>
      <c r="RZ30" s="78"/>
      <c r="SA30" s="78"/>
      <c r="SB30" s="78"/>
      <c r="SC30" s="78"/>
      <c r="SD30" s="78"/>
      <c r="SE30" s="78"/>
      <c r="SF30" s="78"/>
      <c r="SG30" s="78"/>
      <c r="SH30" s="78"/>
      <c r="SI30" s="78"/>
      <c r="SJ30" s="79"/>
      <c r="SK30" s="6"/>
    </row>
    <row r="31" ht="14.25" customHeight="1">
      <c r="A31" s="76" t="s">
        <v>567</v>
      </c>
      <c r="B31" s="39" t="s">
        <v>591</v>
      </c>
      <c r="C31" s="77"/>
      <c r="D31" s="74">
        <f t="shared" si="4"/>
        <v>0</v>
      </c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78"/>
      <c r="BV31" s="78"/>
      <c r="BW31" s="78"/>
      <c r="BX31" s="78"/>
      <c r="BY31" s="78"/>
      <c r="BZ31" s="78"/>
      <c r="CA31" s="78"/>
      <c r="CB31" s="78"/>
      <c r="CC31" s="78"/>
      <c r="CD31" s="78"/>
      <c r="CE31" s="78"/>
      <c r="CF31" s="78"/>
      <c r="CG31" s="78"/>
      <c r="CH31" s="78"/>
      <c r="CI31" s="78"/>
      <c r="CJ31" s="78"/>
      <c r="CK31" s="78"/>
      <c r="CL31" s="78"/>
      <c r="CM31" s="78"/>
      <c r="CN31" s="78"/>
      <c r="CO31" s="78"/>
      <c r="CP31" s="78"/>
      <c r="CQ31" s="78"/>
      <c r="CR31" s="78"/>
      <c r="CS31" s="78"/>
      <c r="CT31" s="78"/>
      <c r="CU31" s="78"/>
      <c r="CV31" s="78"/>
      <c r="CW31" s="78"/>
      <c r="CX31" s="78"/>
      <c r="CY31" s="78"/>
      <c r="CZ31" s="78"/>
      <c r="DA31" s="78"/>
      <c r="DB31" s="78"/>
      <c r="DC31" s="78"/>
      <c r="DD31" s="78"/>
      <c r="DE31" s="78"/>
      <c r="DF31" s="78"/>
      <c r="DG31" s="78"/>
      <c r="DH31" s="78"/>
      <c r="DI31" s="78"/>
      <c r="DJ31" s="78"/>
      <c r="DK31" s="78"/>
      <c r="DL31" s="78"/>
      <c r="DM31" s="78"/>
      <c r="DN31" s="78"/>
      <c r="DO31" s="78"/>
      <c r="DP31" s="78"/>
      <c r="DQ31" s="78"/>
      <c r="DR31" s="78"/>
      <c r="DS31" s="78"/>
      <c r="DT31" s="78"/>
      <c r="DU31" s="78"/>
      <c r="DV31" s="78"/>
      <c r="DW31" s="78"/>
      <c r="DX31" s="78"/>
      <c r="DY31" s="78"/>
      <c r="DZ31" s="78"/>
      <c r="EA31" s="78"/>
      <c r="EB31" s="78"/>
      <c r="EC31" s="78"/>
      <c r="ED31" s="78"/>
      <c r="EE31" s="78"/>
      <c r="EF31" s="78"/>
      <c r="EG31" s="78"/>
      <c r="EH31" s="78"/>
      <c r="EI31" s="78"/>
      <c r="EJ31" s="78"/>
      <c r="EK31" s="78"/>
      <c r="EL31" s="78"/>
      <c r="EM31" s="78"/>
      <c r="EN31" s="78"/>
      <c r="EO31" s="78"/>
      <c r="EP31" s="78"/>
      <c r="EQ31" s="78"/>
      <c r="ER31" s="78"/>
      <c r="ES31" s="78"/>
      <c r="ET31" s="78"/>
      <c r="EU31" s="78"/>
      <c r="EV31" s="78"/>
      <c r="EW31" s="78"/>
      <c r="EX31" s="78"/>
      <c r="EY31" s="78"/>
      <c r="EZ31" s="78"/>
      <c r="FA31" s="78"/>
      <c r="FB31" s="78"/>
      <c r="FC31" s="78"/>
      <c r="FD31" s="78"/>
      <c r="FE31" s="78"/>
      <c r="FF31" s="78"/>
      <c r="FG31" s="78"/>
      <c r="FH31" s="78"/>
      <c r="FI31" s="78"/>
      <c r="FJ31" s="78"/>
      <c r="FK31" s="78"/>
      <c r="FL31" s="78"/>
      <c r="FM31" s="78"/>
      <c r="FN31" s="78"/>
      <c r="FO31" s="78"/>
      <c r="FP31" s="78"/>
      <c r="FQ31" s="78"/>
      <c r="FR31" s="78"/>
      <c r="FS31" s="78"/>
      <c r="FT31" s="78"/>
      <c r="FU31" s="78"/>
      <c r="FV31" s="78"/>
      <c r="FW31" s="78"/>
      <c r="FX31" s="78"/>
      <c r="FY31" s="78"/>
      <c r="FZ31" s="78"/>
      <c r="GA31" s="78"/>
      <c r="GB31" s="78"/>
      <c r="GC31" s="78"/>
      <c r="GD31" s="78"/>
      <c r="GE31" s="78"/>
      <c r="GF31" s="78"/>
      <c r="GG31" s="78"/>
      <c r="GH31" s="78"/>
      <c r="GI31" s="78"/>
      <c r="GJ31" s="78"/>
      <c r="GK31" s="78"/>
      <c r="GL31" s="78"/>
      <c r="GM31" s="78"/>
      <c r="GN31" s="78"/>
      <c r="GO31" s="78"/>
      <c r="GP31" s="78"/>
      <c r="GQ31" s="78"/>
      <c r="GR31" s="78"/>
      <c r="GS31" s="78"/>
      <c r="GT31" s="78"/>
      <c r="GU31" s="78"/>
      <c r="GV31" s="78"/>
      <c r="GW31" s="78"/>
      <c r="GX31" s="78"/>
      <c r="GY31" s="78"/>
      <c r="GZ31" s="78"/>
      <c r="HA31" s="78"/>
      <c r="HB31" s="78"/>
      <c r="HC31" s="78"/>
      <c r="HD31" s="78"/>
      <c r="HE31" s="78"/>
      <c r="HF31" s="78"/>
      <c r="HG31" s="78"/>
      <c r="HH31" s="78"/>
      <c r="HI31" s="78"/>
      <c r="HJ31" s="78"/>
      <c r="HK31" s="78"/>
      <c r="HL31" s="78"/>
      <c r="HM31" s="78"/>
      <c r="HN31" s="78"/>
      <c r="HO31" s="78"/>
      <c r="HP31" s="78"/>
      <c r="HQ31" s="78"/>
      <c r="HR31" s="78"/>
      <c r="HS31" s="78"/>
      <c r="HT31" s="78"/>
      <c r="HU31" s="78"/>
      <c r="HV31" s="78"/>
      <c r="HW31" s="78"/>
      <c r="HX31" s="78"/>
      <c r="HY31" s="78"/>
      <c r="HZ31" s="78"/>
      <c r="IA31" s="78"/>
      <c r="IB31" s="78"/>
      <c r="IC31" s="78"/>
      <c r="ID31" s="78"/>
      <c r="IE31" s="78"/>
      <c r="IF31" s="78"/>
      <c r="IG31" s="78"/>
      <c r="IH31" s="78"/>
      <c r="II31" s="78"/>
      <c r="IJ31" s="78"/>
      <c r="IK31" s="78"/>
      <c r="IL31" s="78"/>
      <c r="IM31" s="78"/>
      <c r="IN31" s="78"/>
      <c r="IO31" s="78"/>
      <c r="IP31" s="78"/>
      <c r="IQ31" s="78"/>
      <c r="IR31" s="78"/>
      <c r="IS31" s="78"/>
      <c r="IT31" s="78"/>
      <c r="IU31" s="78"/>
      <c r="IV31" s="78"/>
      <c r="IW31" s="78"/>
      <c r="IX31" s="78"/>
      <c r="IY31" s="78"/>
      <c r="IZ31" s="78"/>
      <c r="JA31" s="78"/>
      <c r="JB31" s="78"/>
      <c r="JC31" s="78"/>
      <c r="JD31" s="78"/>
      <c r="JE31" s="78"/>
      <c r="JF31" s="78"/>
      <c r="JG31" s="78"/>
      <c r="JH31" s="78"/>
      <c r="JI31" s="78"/>
      <c r="JJ31" s="78"/>
      <c r="JK31" s="78"/>
      <c r="JL31" s="78"/>
      <c r="JM31" s="78"/>
      <c r="JN31" s="78"/>
      <c r="JO31" s="78"/>
      <c r="JP31" s="78"/>
      <c r="JQ31" s="78"/>
      <c r="JR31" s="78"/>
      <c r="JS31" s="78"/>
      <c r="JT31" s="78"/>
      <c r="JU31" s="78"/>
      <c r="JV31" s="78"/>
      <c r="JW31" s="78"/>
      <c r="JX31" s="78"/>
      <c r="JY31" s="78"/>
      <c r="JZ31" s="78"/>
      <c r="KA31" s="78"/>
      <c r="KB31" s="78"/>
      <c r="KC31" s="78"/>
      <c r="KD31" s="78"/>
      <c r="KE31" s="78"/>
      <c r="KF31" s="78"/>
      <c r="KG31" s="78"/>
      <c r="KH31" s="78"/>
      <c r="KI31" s="78"/>
      <c r="KJ31" s="78"/>
      <c r="KK31" s="78"/>
      <c r="KL31" s="78"/>
      <c r="KM31" s="78"/>
      <c r="KN31" s="78"/>
      <c r="KO31" s="78"/>
      <c r="KP31" s="78"/>
      <c r="KQ31" s="78"/>
      <c r="KR31" s="78"/>
      <c r="KS31" s="78"/>
      <c r="KT31" s="78"/>
      <c r="KU31" s="78"/>
      <c r="KV31" s="78"/>
      <c r="KW31" s="78"/>
      <c r="KX31" s="78"/>
      <c r="KY31" s="78"/>
      <c r="KZ31" s="78"/>
      <c r="LA31" s="78"/>
      <c r="LB31" s="78"/>
      <c r="LC31" s="78"/>
      <c r="LD31" s="78"/>
      <c r="LE31" s="78"/>
      <c r="LF31" s="78"/>
      <c r="LG31" s="78"/>
      <c r="LH31" s="78"/>
      <c r="LI31" s="78"/>
      <c r="LJ31" s="78"/>
      <c r="LK31" s="78"/>
      <c r="LL31" s="78"/>
      <c r="LM31" s="78"/>
      <c r="LN31" s="78"/>
      <c r="LO31" s="78"/>
      <c r="LP31" s="78"/>
      <c r="LQ31" s="78"/>
      <c r="LR31" s="78"/>
      <c r="LS31" s="78"/>
      <c r="LT31" s="78"/>
      <c r="LU31" s="78"/>
      <c r="LV31" s="78"/>
      <c r="LW31" s="78"/>
      <c r="LX31" s="78"/>
      <c r="LY31" s="78"/>
      <c r="LZ31" s="78"/>
      <c r="MA31" s="78"/>
      <c r="MB31" s="78"/>
      <c r="MC31" s="78"/>
      <c r="MD31" s="78"/>
      <c r="ME31" s="78"/>
      <c r="MF31" s="78"/>
      <c r="MG31" s="78"/>
      <c r="MH31" s="78"/>
      <c r="MI31" s="78"/>
      <c r="MJ31" s="78"/>
      <c r="MK31" s="78"/>
      <c r="ML31" s="78"/>
      <c r="MM31" s="78"/>
      <c r="MN31" s="78"/>
      <c r="MO31" s="78"/>
      <c r="MP31" s="78"/>
      <c r="MQ31" s="78"/>
      <c r="MR31" s="78"/>
      <c r="MS31" s="78"/>
      <c r="MT31" s="78"/>
      <c r="MU31" s="78"/>
      <c r="MV31" s="78"/>
      <c r="MW31" s="78"/>
      <c r="MX31" s="78"/>
      <c r="MY31" s="78"/>
      <c r="MZ31" s="78"/>
      <c r="NA31" s="78"/>
      <c r="NB31" s="78"/>
      <c r="NC31" s="78"/>
      <c r="ND31" s="78"/>
      <c r="NE31" s="78"/>
      <c r="NF31" s="78"/>
      <c r="NG31" s="78"/>
      <c r="NH31" s="78"/>
      <c r="NI31" s="78"/>
      <c r="NJ31" s="78"/>
      <c r="NK31" s="78"/>
      <c r="NL31" s="78"/>
      <c r="NM31" s="78"/>
      <c r="NN31" s="78"/>
      <c r="NO31" s="78"/>
      <c r="NP31" s="78"/>
      <c r="NQ31" s="78"/>
      <c r="NR31" s="78"/>
      <c r="NS31" s="78"/>
      <c r="NT31" s="78"/>
      <c r="NU31" s="78"/>
      <c r="NV31" s="78"/>
      <c r="NW31" s="78"/>
      <c r="NX31" s="78"/>
      <c r="NY31" s="78"/>
      <c r="NZ31" s="78"/>
      <c r="OA31" s="78"/>
      <c r="OB31" s="78"/>
      <c r="OC31" s="78"/>
      <c r="OD31" s="78"/>
      <c r="OE31" s="78"/>
      <c r="OF31" s="78"/>
      <c r="OG31" s="78"/>
      <c r="OH31" s="78"/>
      <c r="OI31" s="78"/>
      <c r="OJ31" s="78"/>
      <c r="OK31" s="78"/>
      <c r="OL31" s="78"/>
      <c r="OM31" s="78"/>
      <c r="ON31" s="78"/>
      <c r="OO31" s="78"/>
      <c r="OP31" s="78"/>
      <c r="OQ31" s="78"/>
      <c r="OR31" s="78"/>
      <c r="OS31" s="78"/>
      <c r="OT31" s="78"/>
      <c r="OU31" s="78"/>
      <c r="OV31" s="78"/>
      <c r="OW31" s="78"/>
      <c r="OX31" s="78"/>
      <c r="OY31" s="78"/>
      <c r="OZ31" s="78"/>
      <c r="PA31" s="78"/>
      <c r="PB31" s="78"/>
      <c r="PC31" s="78"/>
      <c r="PD31" s="78"/>
      <c r="PE31" s="78"/>
      <c r="PF31" s="78"/>
      <c r="PG31" s="78"/>
      <c r="PH31" s="78"/>
      <c r="PI31" s="78"/>
      <c r="PJ31" s="78"/>
      <c r="PK31" s="78"/>
      <c r="PL31" s="78"/>
      <c r="PM31" s="78"/>
      <c r="PN31" s="78"/>
      <c r="PO31" s="78"/>
      <c r="PP31" s="78"/>
      <c r="PQ31" s="78"/>
      <c r="PR31" s="78"/>
      <c r="PS31" s="78"/>
      <c r="PT31" s="78"/>
      <c r="PU31" s="78"/>
      <c r="PV31" s="78"/>
      <c r="PW31" s="78"/>
      <c r="PX31" s="78"/>
      <c r="PY31" s="78"/>
      <c r="PZ31" s="78"/>
      <c r="QA31" s="78"/>
      <c r="QB31" s="78"/>
      <c r="QC31" s="78"/>
      <c r="QD31" s="78"/>
      <c r="QE31" s="78"/>
      <c r="QF31" s="78"/>
      <c r="QG31" s="78"/>
      <c r="QH31" s="78"/>
      <c r="QI31" s="78"/>
      <c r="QJ31" s="78"/>
      <c r="QK31" s="78"/>
      <c r="QL31" s="78"/>
      <c r="QM31" s="78"/>
      <c r="QN31" s="78"/>
      <c r="QO31" s="78"/>
      <c r="QP31" s="78"/>
      <c r="QQ31" s="78"/>
      <c r="QR31" s="78"/>
      <c r="QS31" s="78"/>
      <c r="QT31" s="78"/>
      <c r="QU31" s="78"/>
      <c r="QV31" s="78"/>
      <c r="QW31" s="78"/>
      <c r="QX31" s="78"/>
      <c r="QY31" s="78"/>
      <c r="QZ31" s="78"/>
      <c r="RA31" s="78"/>
      <c r="RB31" s="78"/>
      <c r="RC31" s="78"/>
      <c r="RD31" s="78"/>
      <c r="RE31" s="78"/>
      <c r="RF31" s="78"/>
      <c r="RG31" s="78"/>
      <c r="RH31" s="78"/>
      <c r="RI31" s="78"/>
      <c r="RJ31" s="78"/>
      <c r="RK31" s="78"/>
      <c r="RL31" s="78"/>
      <c r="RM31" s="78"/>
      <c r="RN31" s="78"/>
      <c r="RO31" s="78"/>
      <c r="RP31" s="78"/>
      <c r="RQ31" s="78"/>
      <c r="RR31" s="78"/>
      <c r="RS31" s="78"/>
      <c r="RT31" s="78"/>
      <c r="RU31" s="78"/>
      <c r="RV31" s="78"/>
      <c r="RW31" s="78"/>
      <c r="RX31" s="78"/>
      <c r="RY31" s="78"/>
      <c r="RZ31" s="78"/>
      <c r="SA31" s="78"/>
      <c r="SB31" s="78"/>
      <c r="SC31" s="78"/>
      <c r="SD31" s="78"/>
      <c r="SE31" s="78"/>
      <c r="SF31" s="78"/>
      <c r="SG31" s="78"/>
      <c r="SH31" s="78"/>
      <c r="SI31" s="78"/>
      <c r="SJ31" s="79"/>
      <c r="SK31" s="6"/>
    </row>
    <row r="32" ht="14.25" customHeight="1">
      <c r="A32" s="80" t="s">
        <v>567</v>
      </c>
      <c r="B32" s="30" t="s">
        <v>592</v>
      </c>
      <c r="C32" s="81"/>
      <c r="D32" s="74">
        <f t="shared" si="4"/>
        <v>0</v>
      </c>
      <c r="E32" s="78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1"/>
      <c r="FX32" s="31"/>
      <c r="FY32" s="31"/>
      <c r="FZ32" s="31"/>
      <c r="GA32" s="31"/>
      <c r="GB32" s="31"/>
      <c r="GC32" s="31"/>
      <c r="GD32" s="31"/>
      <c r="GE32" s="31"/>
      <c r="GF32" s="31"/>
      <c r="GG32" s="31"/>
      <c r="GH32" s="31"/>
      <c r="GI32" s="31"/>
      <c r="GJ32" s="31"/>
      <c r="GK32" s="31"/>
      <c r="GL32" s="31"/>
      <c r="GM32" s="31"/>
      <c r="GN32" s="31"/>
      <c r="GO32" s="31"/>
      <c r="GP32" s="31"/>
      <c r="GQ32" s="31"/>
      <c r="GR32" s="31"/>
      <c r="GS32" s="31"/>
      <c r="GT32" s="31"/>
      <c r="GU32" s="31"/>
      <c r="GV32" s="31"/>
      <c r="GW32" s="31"/>
      <c r="GX32" s="31"/>
      <c r="GY32" s="31"/>
      <c r="GZ32" s="31"/>
      <c r="HA32" s="31"/>
      <c r="HB32" s="31"/>
      <c r="HC32" s="31"/>
      <c r="HD32" s="31"/>
      <c r="HE32" s="31"/>
      <c r="HF32" s="31"/>
      <c r="HG32" s="31"/>
      <c r="HH32" s="31"/>
      <c r="HI32" s="31"/>
      <c r="HJ32" s="31"/>
      <c r="HK32" s="31"/>
      <c r="HL32" s="31"/>
      <c r="HM32" s="31"/>
      <c r="HN32" s="31"/>
      <c r="HO32" s="31"/>
      <c r="HP32" s="31"/>
      <c r="HQ32" s="31"/>
      <c r="HR32" s="31"/>
      <c r="HS32" s="31"/>
      <c r="HT32" s="31"/>
      <c r="HU32" s="31"/>
      <c r="HV32" s="31"/>
      <c r="HW32" s="31"/>
      <c r="HX32" s="31"/>
      <c r="HY32" s="31"/>
      <c r="HZ32" s="31"/>
      <c r="IA32" s="31"/>
      <c r="IB32" s="31"/>
      <c r="IC32" s="31"/>
      <c r="ID32" s="31"/>
      <c r="IE32" s="31"/>
      <c r="IF32" s="31"/>
      <c r="IG32" s="31"/>
      <c r="IH32" s="31"/>
      <c r="II32" s="31"/>
      <c r="IJ32" s="31"/>
      <c r="IK32" s="31"/>
      <c r="IL32" s="31"/>
      <c r="IM32" s="31"/>
      <c r="IN32" s="31"/>
      <c r="IO32" s="31"/>
      <c r="IP32" s="31"/>
      <c r="IQ32" s="31"/>
      <c r="IR32" s="31"/>
      <c r="IS32" s="31"/>
      <c r="IT32" s="31"/>
      <c r="IU32" s="31"/>
      <c r="IV32" s="31"/>
      <c r="IW32" s="31"/>
      <c r="IX32" s="31"/>
      <c r="IY32" s="31"/>
      <c r="IZ32" s="31"/>
      <c r="JA32" s="31"/>
      <c r="JB32" s="31"/>
      <c r="JC32" s="31"/>
      <c r="JD32" s="31"/>
      <c r="JE32" s="31"/>
      <c r="JF32" s="31"/>
      <c r="JG32" s="31"/>
      <c r="JH32" s="31"/>
      <c r="JI32" s="31"/>
      <c r="JJ32" s="31"/>
      <c r="JK32" s="31"/>
      <c r="JL32" s="31"/>
      <c r="JM32" s="31"/>
      <c r="JN32" s="31"/>
      <c r="JO32" s="31"/>
      <c r="JP32" s="31"/>
      <c r="JQ32" s="31"/>
      <c r="JR32" s="31"/>
      <c r="JS32" s="31"/>
      <c r="JT32" s="31"/>
      <c r="JU32" s="31"/>
      <c r="JV32" s="31"/>
      <c r="JW32" s="31"/>
      <c r="JX32" s="31"/>
      <c r="JY32" s="31"/>
      <c r="JZ32" s="31"/>
      <c r="KA32" s="31"/>
      <c r="KB32" s="31"/>
      <c r="KC32" s="31"/>
      <c r="KD32" s="31"/>
      <c r="KE32" s="31"/>
      <c r="KF32" s="31"/>
      <c r="KG32" s="31"/>
      <c r="KH32" s="31"/>
      <c r="KI32" s="31"/>
      <c r="KJ32" s="31"/>
      <c r="KK32" s="31"/>
      <c r="KL32" s="31"/>
      <c r="KM32" s="31"/>
      <c r="KN32" s="31"/>
      <c r="KO32" s="31"/>
      <c r="KP32" s="31"/>
      <c r="KQ32" s="31"/>
      <c r="KR32" s="31"/>
      <c r="KS32" s="31"/>
      <c r="KT32" s="31"/>
      <c r="KU32" s="31"/>
      <c r="KV32" s="31"/>
      <c r="KW32" s="31"/>
      <c r="KX32" s="31"/>
      <c r="KY32" s="31"/>
      <c r="KZ32" s="31"/>
      <c r="LA32" s="31"/>
      <c r="LB32" s="31"/>
      <c r="LC32" s="31"/>
      <c r="LD32" s="31"/>
      <c r="LE32" s="31"/>
      <c r="LF32" s="31"/>
      <c r="LG32" s="31"/>
      <c r="LH32" s="31"/>
      <c r="LI32" s="31"/>
      <c r="LJ32" s="31"/>
      <c r="LK32" s="31"/>
      <c r="LL32" s="31"/>
      <c r="LM32" s="31"/>
      <c r="LN32" s="31"/>
      <c r="LO32" s="31"/>
      <c r="LP32" s="31"/>
      <c r="LQ32" s="31"/>
      <c r="LR32" s="31"/>
      <c r="LS32" s="31"/>
      <c r="LT32" s="31"/>
      <c r="LU32" s="31"/>
      <c r="LV32" s="31"/>
      <c r="LW32" s="31"/>
      <c r="LX32" s="31"/>
      <c r="LY32" s="31"/>
      <c r="LZ32" s="31"/>
      <c r="MA32" s="31"/>
      <c r="MB32" s="31"/>
      <c r="MC32" s="31"/>
      <c r="MD32" s="31"/>
      <c r="ME32" s="31"/>
      <c r="MF32" s="31"/>
      <c r="MG32" s="31"/>
      <c r="MH32" s="31"/>
      <c r="MI32" s="31"/>
      <c r="MJ32" s="31"/>
      <c r="MK32" s="31"/>
      <c r="ML32" s="31"/>
      <c r="MM32" s="31"/>
      <c r="MN32" s="31"/>
      <c r="MO32" s="31"/>
      <c r="MP32" s="31"/>
      <c r="MQ32" s="31"/>
      <c r="MR32" s="31"/>
      <c r="MS32" s="31"/>
      <c r="MT32" s="31"/>
      <c r="MU32" s="31"/>
      <c r="MV32" s="31"/>
      <c r="MW32" s="31"/>
      <c r="MX32" s="31"/>
      <c r="MY32" s="31"/>
      <c r="MZ32" s="31"/>
      <c r="NA32" s="31"/>
      <c r="NB32" s="31"/>
      <c r="NC32" s="31"/>
      <c r="ND32" s="31"/>
      <c r="NE32" s="31"/>
      <c r="NF32" s="31"/>
      <c r="NG32" s="31"/>
      <c r="NH32" s="31"/>
      <c r="NI32" s="31"/>
      <c r="NJ32" s="31"/>
      <c r="NK32" s="31"/>
      <c r="NL32" s="31"/>
      <c r="NM32" s="31"/>
      <c r="NN32" s="31"/>
      <c r="NO32" s="31"/>
      <c r="NP32" s="31"/>
      <c r="NQ32" s="31"/>
      <c r="NR32" s="31"/>
      <c r="NS32" s="31"/>
      <c r="NT32" s="31"/>
      <c r="NU32" s="31"/>
      <c r="NV32" s="31"/>
      <c r="NW32" s="31"/>
      <c r="NX32" s="31"/>
      <c r="NY32" s="31"/>
      <c r="NZ32" s="31"/>
      <c r="OA32" s="31"/>
      <c r="OB32" s="31"/>
      <c r="OC32" s="31"/>
      <c r="OD32" s="31"/>
      <c r="OE32" s="31"/>
      <c r="OF32" s="31"/>
      <c r="OG32" s="31"/>
      <c r="OH32" s="31"/>
      <c r="OI32" s="31"/>
      <c r="OJ32" s="31"/>
      <c r="OK32" s="31"/>
      <c r="OL32" s="31"/>
      <c r="OM32" s="31"/>
      <c r="ON32" s="31"/>
      <c r="OO32" s="31"/>
      <c r="OP32" s="31"/>
      <c r="OQ32" s="31"/>
      <c r="OR32" s="31"/>
      <c r="OS32" s="31"/>
      <c r="OT32" s="31"/>
      <c r="OU32" s="31"/>
      <c r="OV32" s="31"/>
      <c r="OW32" s="31"/>
      <c r="OX32" s="31"/>
      <c r="OY32" s="31"/>
      <c r="OZ32" s="31"/>
      <c r="PA32" s="31"/>
      <c r="PB32" s="31"/>
      <c r="PC32" s="31"/>
      <c r="PD32" s="31"/>
      <c r="PE32" s="31"/>
      <c r="PF32" s="31"/>
      <c r="PG32" s="31"/>
      <c r="PH32" s="31"/>
      <c r="PI32" s="31"/>
      <c r="PJ32" s="31"/>
      <c r="PK32" s="31"/>
      <c r="PL32" s="31"/>
      <c r="PM32" s="31"/>
      <c r="PN32" s="31"/>
      <c r="PO32" s="31"/>
      <c r="PP32" s="31"/>
      <c r="PQ32" s="31"/>
      <c r="PR32" s="31"/>
      <c r="PS32" s="31"/>
      <c r="PT32" s="31"/>
      <c r="PU32" s="31"/>
      <c r="PV32" s="31"/>
      <c r="PW32" s="31"/>
      <c r="PX32" s="31"/>
      <c r="PY32" s="31"/>
      <c r="PZ32" s="31"/>
      <c r="QA32" s="31"/>
      <c r="QB32" s="31"/>
      <c r="QC32" s="31"/>
      <c r="QD32" s="31"/>
      <c r="QE32" s="31"/>
      <c r="QF32" s="31"/>
      <c r="QG32" s="31"/>
      <c r="QH32" s="31"/>
      <c r="QI32" s="31"/>
      <c r="QJ32" s="31"/>
      <c r="QK32" s="31"/>
      <c r="QL32" s="31"/>
      <c r="QM32" s="31"/>
      <c r="QN32" s="31"/>
      <c r="QO32" s="31"/>
      <c r="QP32" s="31"/>
      <c r="QQ32" s="31"/>
      <c r="QR32" s="31"/>
      <c r="QS32" s="31"/>
      <c r="QT32" s="31"/>
      <c r="QU32" s="31"/>
      <c r="QV32" s="31"/>
      <c r="QW32" s="31"/>
      <c r="QX32" s="31"/>
      <c r="QY32" s="31"/>
      <c r="QZ32" s="31"/>
      <c r="RA32" s="31"/>
      <c r="RB32" s="31"/>
      <c r="RC32" s="31"/>
      <c r="RD32" s="31"/>
      <c r="RE32" s="31"/>
      <c r="RF32" s="31"/>
      <c r="RG32" s="31"/>
      <c r="RH32" s="31"/>
      <c r="RI32" s="31"/>
      <c r="RJ32" s="31"/>
      <c r="RK32" s="31"/>
      <c r="RL32" s="31"/>
      <c r="RM32" s="31"/>
      <c r="RN32" s="31"/>
      <c r="RO32" s="31"/>
      <c r="RP32" s="31"/>
      <c r="RQ32" s="31"/>
      <c r="RR32" s="31"/>
      <c r="RS32" s="31"/>
      <c r="RT32" s="31"/>
      <c r="RU32" s="31"/>
      <c r="RV32" s="31"/>
      <c r="RW32" s="31"/>
      <c r="RX32" s="31"/>
      <c r="RY32" s="31"/>
      <c r="RZ32" s="31"/>
      <c r="SA32" s="31"/>
      <c r="SB32" s="31"/>
      <c r="SC32" s="31"/>
      <c r="SD32" s="31"/>
      <c r="SE32" s="31"/>
      <c r="SF32" s="31"/>
      <c r="SG32" s="31"/>
      <c r="SH32" s="31"/>
      <c r="SI32" s="31"/>
      <c r="SJ32" s="82"/>
      <c r="SK32" s="6"/>
    </row>
    <row r="33" ht="14.25" customHeight="1">
      <c r="A33" s="80" t="s">
        <v>567</v>
      </c>
      <c r="B33" s="30" t="s">
        <v>593</v>
      </c>
      <c r="C33" s="81"/>
      <c r="D33" s="74">
        <f t="shared" si="4"/>
        <v>0</v>
      </c>
      <c r="E33" s="78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  <c r="CY33" s="31"/>
      <c r="CZ33" s="31"/>
      <c r="DA33" s="31"/>
      <c r="DB33" s="31"/>
      <c r="DC33" s="31"/>
      <c r="DD33" s="31"/>
      <c r="DE33" s="31"/>
      <c r="DF33" s="31"/>
      <c r="DG33" s="31"/>
      <c r="DH33" s="31"/>
      <c r="DI33" s="31"/>
      <c r="DJ33" s="31"/>
      <c r="DK33" s="31"/>
      <c r="DL33" s="31"/>
      <c r="DM33" s="31"/>
      <c r="DN33" s="31"/>
      <c r="DO33" s="31"/>
      <c r="DP33" s="31"/>
      <c r="DQ33" s="31"/>
      <c r="DR33" s="31"/>
      <c r="DS33" s="31"/>
      <c r="DT33" s="31"/>
      <c r="DU33" s="31"/>
      <c r="DV33" s="31"/>
      <c r="DW33" s="31"/>
      <c r="DX33" s="31"/>
      <c r="DY33" s="31"/>
      <c r="DZ33" s="31"/>
      <c r="EA33" s="31"/>
      <c r="EB33" s="31"/>
      <c r="EC33" s="31"/>
      <c r="ED33" s="31"/>
      <c r="EE33" s="31"/>
      <c r="EF33" s="31"/>
      <c r="EG33" s="31"/>
      <c r="EH33" s="31"/>
      <c r="EI33" s="31"/>
      <c r="EJ33" s="31"/>
      <c r="EK33" s="31"/>
      <c r="EL33" s="31"/>
      <c r="EM33" s="31"/>
      <c r="EN33" s="31"/>
      <c r="EO33" s="31"/>
      <c r="EP33" s="31"/>
      <c r="EQ33" s="31"/>
      <c r="ER33" s="31"/>
      <c r="ES33" s="31"/>
      <c r="ET33" s="31"/>
      <c r="EU33" s="31"/>
      <c r="EV33" s="31"/>
      <c r="EW33" s="31"/>
      <c r="EX33" s="31"/>
      <c r="EY33" s="31"/>
      <c r="EZ33" s="31"/>
      <c r="FA33" s="31"/>
      <c r="FB33" s="31"/>
      <c r="FC33" s="31"/>
      <c r="FD33" s="31"/>
      <c r="FE33" s="31"/>
      <c r="FF33" s="31"/>
      <c r="FG33" s="31"/>
      <c r="FH33" s="31"/>
      <c r="FI33" s="31"/>
      <c r="FJ33" s="31"/>
      <c r="FK33" s="31"/>
      <c r="FL33" s="31"/>
      <c r="FM33" s="31"/>
      <c r="FN33" s="31"/>
      <c r="FO33" s="31"/>
      <c r="FP33" s="31"/>
      <c r="FQ33" s="31"/>
      <c r="FR33" s="31"/>
      <c r="FS33" s="31"/>
      <c r="FT33" s="31"/>
      <c r="FU33" s="31"/>
      <c r="FV33" s="31"/>
      <c r="FW33" s="31"/>
      <c r="FX33" s="31"/>
      <c r="FY33" s="31"/>
      <c r="FZ33" s="31"/>
      <c r="GA33" s="31"/>
      <c r="GB33" s="31"/>
      <c r="GC33" s="31"/>
      <c r="GD33" s="31"/>
      <c r="GE33" s="31"/>
      <c r="GF33" s="31"/>
      <c r="GG33" s="31"/>
      <c r="GH33" s="31"/>
      <c r="GI33" s="31"/>
      <c r="GJ33" s="31"/>
      <c r="GK33" s="31"/>
      <c r="GL33" s="31"/>
      <c r="GM33" s="31"/>
      <c r="GN33" s="31"/>
      <c r="GO33" s="31"/>
      <c r="GP33" s="31"/>
      <c r="GQ33" s="31"/>
      <c r="GR33" s="31"/>
      <c r="GS33" s="31"/>
      <c r="GT33" s="31"/>
      <c r="GU33" s="31"/>
      <c r="GV33" s="31"/>
      <c r="GW33" s="31"/>
      <c r="GX33" s="31"/>
      <c r="GY33" s="31"/>
      <c r="GZ33" s="31"/>
      <c r="HA33" s="31"/>
      <c r="HB33" s="31"/>
      <c r="HC33" s="31"/>
      <c r="HD33" s="31"/>
      <c r="HE33" s="31"/>
      <c r="HF33" s="31"/>
      <c r="HG33" s="31"/>
      <c r="HH33" s="31"/>
      <c r="HI33" s="31"/>
      <c r="HJ33" s="31"/>
      <c r="HK33" s="31"/>
      <c r="HL33" s="31"/>
      <c r="HM33" s="31"/>
      <c r="HN33" s="31"/>
      <c r="HO33" s="31"/>
      <c r="HP33" s="31"/>
      <c r="HQ33" s="31"/>
      <c r="HR33" s="31"/>
      <c r="HS33" s="31"/>
      <c r="HT33" s="31"/>
      <c r="HU33" s="31"/>
      <c r="HV33" s="31"/>
      <c r="HW33" s="31"/>
      <c r="HX33" s="31"/>
      <c r="HY33" s="31"/>
      <c r="HZ33" s="31"/>
      <c r="IA33" s="31"/>
      <c r="IB33" s="31"/>
      <c r="IC33" s="31"/>
      <c r="ID33" s="31"/>
      <c r="IE33" s="31"/>
      <c r="IF33" s="31"/>
      <c r="IG33" s="31"/>
      <c r="IH33" s="31"/>
      <c r="II33" s="31"/>
      <c r="IJ33" s="31"/>
      <c r="IK33" s="31"/>
      <c r="IL33" s="31"/>
      <c r="IM33" s="31"/>
      <c r="IN33" s="31"/>
      <c r="IO33" s="31"/>
      <c r="IP33" s="31"/>
      <c r="IQ33" s="31"/>
      <c r="IR33" s="31"/>
      <c r="IS33" s="31"/>
      <c r="IT33" s="31"/>
      <c r="IU33" s="31"/>
      <c r="IV33" s="31"/>
      <c r="IW33" s="31"/>
      <c r="IX33" s="31"/>
      <c r="IY33" s="31"/>
      <c r="IZ33" s="31"/>
      <c r="JA33" s="31"/>
      <c r="JB33" s="31"/>
      <c r="JC33" s="31"/>
      <c r="JD33" s="31"/>
      <c r="JE33" s="31"/>
      <c r="JF33" s="31"/>
      <c r="JG33" s="31"/>
      <c r="JH33" s="31"/>
      <c r="JI33" s="31"/>
      <c r="JJ33" s="31"/>
      <c r="JK33" s="31"/>
      <c r="JL33" s="31"/>
      <c r="JM33" s="31"/>
      <c r="JN33" s="31"/>
      <c r="JO33" s="31"/>
      <c r="JP33" s="31"/>
      <c r="JQ33" s="31"/>
      <c r="JR33" s="31"/>
      <c r="JS33" s="31"/>
      <c r="JT33" s="31"/>
      <c r="JU33" s="31"/>
      <c r="JV33" s="31"/>
      <c r="JW33" s="31"/>
      <c r="JX33" s="31"/>
      <c r="JY33" s="31"/>
      <c r="JZ33" s="31"/>
      <c r="KA33" s="31"/>
      <c r="KB33" s="31"/>
      <c r="KC33" s="31"/>
      <c r="KD33" s="31"/>
      <c r="KE33" s="31"/>
      <c r="KF33" s="31"/>
      <c r="KG33" s="31"/>
      <c r="KH33" s="31"/>
      <c r="KI33" s="31"/>
      <c r="KJ33" s="31"/>
      <c r="KK33" s="31"/>
      <c r="KL33" s="31"/>
      <c r="KM33" s="31"/>
      <c r="KN33" s="31"/>
      <c r="KO33" s="31"/>
      <c r="KP33" s="31"/>
      <c r="KQ33" s="31"/>
      <c r="KR33" s="31"/>
      <c r="KS33" s="31"/>
      <c r="KT33" s="31"/>
      <c r="KU33" s="31"/>
      <c r="KV33" s="31"/>
      <c r="KW33" s="31"/>
      <c r="KX33" s="31"/>
      <c r="KY33" s="31"/>
      <c r="KZ33" s="31"/>
      <c r="LA33" s="31"/>
      <c r="LB33" s="31"/>
      <c r="LC33" s="31"/>
      <c r="LD33" s="31"/>
      <c r="LE33" s="31"/>
      <c r="LF33" s="31"/>
      <c r="LG33" s="31"/>
      <c r="LH33" s="31"/>
      <c r="LI33" s="31"/>
      <c r="LJ33" s="31"/>
      <c r="LK33" s="31"/>
      <c r="LL33" s="31"/>
      <c r="LM33" s="31"/>
      <c r="LN33" s="31"/>
      <c r="LO33" s="31"/>
      <c r="LP33" s="31"/>
      <c r="LQ33" s="31"/>
      <c r="LR33" s="31"/>
      <c r="LS33" s="31"/>
      <c r="LT33" s="31"/>
      <c r="LU33" s="31"/>
      <c r="LV33" s="31"/>
      <c r="LW33" s="31"/>
      <c r="LX33" s="31"/>
      <c r="LY33" s="31"/>
      <c r="LZ33" s="31"/>
      <c r="MA33" s="31"/>
      <c r="MB33" s="31"/>
      <c r="MC33" s="31"/>
      <c r="MD33" s="31"/>
      <c r="ME33" s="31"/>
      <c r="MF33" s="31"/>
      <c r="MG33" s="31"/>
      <c r="MH33" s="31"/>
      <c r="MI33" s="31"/>
      <c r="MJ33" s="31"/>
      <c r="MK33" s="31"/>
      <c r="ML33" s="31"/>
      <c r="MM33" s="31"/>
      <c r="MN33" s="31"/>
      <c r="MO33" s="31"/>
      <c r="MP33" s="31"/>
      <c r="MQ33" s="31"/>
      <c r="MR33" s="31"/>
      <c r="MS33" s="31"/>
      <c r="MT33" s="31"/>
      <c r="MU33" s="31"/>
      <c r="MV33" s="31"/>
      <c r="MW33" s="31"/>
      <c r="MX33" s="31"/>
      <c r="MY33" s="31"/>
      <c r="MZ33" s="31"/>
      <c r="NA33" s="31"/>
      <c r="NB33" s="31"/>
      <c r="NC33" s="31"/>
      <c r="ND33" s="31"/>
      <c r="NE33" s="31"/>
      <c r="NF33" s="31"/>
      <c r="NG33" s="31"/>
      <c r="NH33" s="31"/>
      <c r="NI33" s="31"/>
      <c r="NJ33" s="31"/>
      <c r="NK33" s="31"/>
      <c r="NL33" s="31"/>
      <c r="NM33" s="31"/>
      <c r="NN33" s="31"/>
      <c r="NO33" s="31"/>
      <c r="NP33" s="31"/>
      <c r="NQ33" s="31"/>
      <c r="NR33" s="31"/>
      <c r="NS33" s="31"/>
      <c r="NT33" s="31"/>
      <c r="NU33" s="31"/>
      <c r="NV33" s="31"/>
      <c r="NW33" s="31"/>
      <c r="NX33" s="31"/>
      <c r="NY33" s="31"/>
      <c r="NZ33" s="31"/>
      <c r="OA33" s="31"/>
      <c r="OB33" s="31"/>
      <c r="OC33" s="31"/>
      <c r="OD33" s="31"/>
      <c r="OE33" s="31"/>
      <c r="OF33" s="31"/>
      <c r="OG33" s="31"/>
      <c r="OH33" s="31"/>
      <c r="OI33" s="31"/>
      <c r="OJ33" s="31"/>
      <c r="OK33" s="31"/>
      <c r="OL33" s="31"/>
      <c r="OM33" s="31"/>
      <c r="ON33" s="31"/>
      <c r="OO33" s="31"/>
      <c r="OP33" s="31"/>
      <c r="OQ33" s="31"/>
      <c r="OR33" s="31"/>
      <c r="OS33" s="31"/>
      <c r="OT33" s="31"/>
      <c r="OU33" s="31"/>
      <c r="OV33" s="31"/>
      <c r="OW33" s="31"/>
      <c r="OX33" s="31"/>
      <c r="OY33" s="31"/>
      <c r="OZ33" s="31"/>
      <c r="PA33" s="31"/>
      <c r="PB33" s="31"/>
      <c r="PC33" s="31"/>
      <c r="PD33" s="31"/>
      <c r="PE33" s="31"/>
      <c r="PF33" s="31"/>
      <c r="PG33" s="31"/>
      <c r="PH33" s="31"/>
      <c r="PI33" s="31"/>
      <c r="PJ33" s="31"/>
      <c r="PK33" s="31"/>
      <c r="PL33" s="31"/>
      <c r="PM33" s="31"/>
      <c r="PN33" s="31"/>
      <c r="PO33" s="31"/>
      <c r="PP33" s="31"/>
      <c r="PQ33" s="31"/>
      <c r="PR33" s="31"/>
      <c r="PS33" s="31"/>
      <c r="PT33" s="31"/>
      <c r="PU33" s="31"/>
      <c r="PV33" s="31"/>
      <c r="PW33" s="31"/>
      <c r="PX33" s="31"/>
      <c r="PY33" s="31"/>
      <c r="PZ33" s="31"/>
      <c r="QA33" s="31"/>
      <c r="QB33" s="31"/>
      <c r="QC33" s="31"/>
      <c r="QD33" s="31"/>
      <c r="QE33" s="31"/>
      <c r="QF33" s="31"/>
      <c r="QG33" s="31"/>
      <c r="QH33" s="31"/>
      <c r="QI33" s="31"/>
      <c r="QJ33" s="31"/>
      <c r="QK33" s="31"/>
      <c r="QL33" s="31"/>
      <c r="QM33" s="31"/>
      <c r="QN33" s="31"/>
      <c r="QO33" s="31"/>
      <c r="QP33" s="31"/>
      <c r="QQ33" s="31"/>
      <c r="QR33" s="31"/>
      <c r="QS33" s="31"/>
      <c r="QT33" s="31"/>
      <c r="QU33" s="31"/>
      <c r="QV33" s="31"/>
      <c r="QW33" s="31"/>
      <c r="QX33" s="31"/>
      <c r="QY33" s="31"/>
      <c r="QZ33" s="31"/>
      <c r="RA33" s="31"/>
      <c r="RB33" s="31"/>
      <c r="RC33" s="31"/>
      <c r="RD33" s="31"/>
      <c r="RE33" s="31"/>
      <c r="RF33" s="31"/>
      <c r="RG33" s="31"/>
      <c r="RH33" s="31"/>
      <c r="RI33" s="31"/>
      <c r="RJ33" s="31"/>
      <c r="RK33" s="31"/>
      <c r="RL33" s="31"/>
      <c r="RM33" s="31"/>
      <c r="RN33" s="31"/>
      <c r="RO33" s="31"/>
      <c r="RP33" s="31"/>
      <c r="RQ33" s="31"/>
      <c r="RR33" s="31"/>
      <c r="RS33" s="31"/>
      <c r="RT33" s="31"/>
      <c r="RU33" s="31"/>
      <c r="RV33" s="31"/>
      <c r="RW33" s="31"/>
      <c r="RX33" s="31"/>
      <c r="RY33" s="31"/>
      <c r="RZ33" s="31"/>
      <c r="SA33" s="31"/>
      <c r="SB33" s="31"/>
      <c r="SC33" s="31"/>
      <c r="SD33" s="31"/>
      <c r="SE33" s="31"/>
      <c r="SF33" s="31"/>
      <c r="SG33" s="31"/>
      <c r="SH33" s="31"/>
      <c r="SI33" s="31"/>
      <c r="SJ33" s="82"/>
      <c r="SK33" s="6"/>
    </row>
    <row r="34" ht="14.25" customHeight="1">
      <c r="A34" s="80" t="s">
        <v>567</v>
      </c>
      <c r="B34" s="30" t="s">
        <v>594</v>
      </c>
      <c r="C34" s="81"/>
      <c r="D34" s="74">
        <f t="shared" si="4"/>
        <v>0</v>
      </c>
      <c r="E34" s="78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1"/>
      <c r="FX34" s="31"/>
      <c r="FY34" s="31"/>
      <c r="FZ34" s="31"/>
      <c r="GA34" s="31"/>
      <c r="GB34" s="31"/>
      <c r="GC34" s="31"/>
      <c r="GD34" s="31"/>
      <c r="GE34" s="31"/>
      <c r="GF34" s="31"/>
      <c r="GG34" s="31"/>
      <c r="GH34" s="31"/>
      <c r="GI34" s="31"/>
      <c r="GJ34" s="31"/>
      <c r="GK34" s="31"/>
      <c r="GL34" s="31"/>
      <c r="GM34" s="31"/>
      <c r="GN34" s="31"/>
      <c r="GO34" s="31"/>
      <c r="GP34" s="31"/>
      <c r="GQ34" s="31"/>
      <c r="GR34" s="31"/>
      <c r="GS34" s="31"/>
      <c r="GT34" s="31"/>
      <c r="GU34" s="31"/>
      <c r="GV34" s="31"/>
      <c r="GW34" s="31"/>
      <c r="GX34" s="31"/>
      <c r="GY34" s="31"/>
      <c r="GZ34" s="31"/>
      <c r="HA34" s="31"/>
      <c r="HB34" s="31"/>
      <c r="HC34" s="31"/>
      <c r="HD34" s="31"/>
      <c r="HE34" s="31"/>
      <c r="HF34" s="31"/>
      <c r="HG34" s="31"/>
      <c r="HH34" s="31"/>
      <c r="HI34" s="31"/>
      <c r="HJ34" s="31"/>
      <c r="HK34" s="31"/>
      <c r="HL34" s="31"/>
      <c r="HM34" s="31"/>
      <c r="HN34" s="31"/>
      <c r="HO34" s="31"/>
      <c r="HP34" s="31"/>
      <c r="HQ34" s="31"/>
      <c r="HR34" s="31"/>
      <c r="HS34" s="31"/>
      <c r="HT34" s="31"/>
      <c r="HU34" s="31"/>
      <c r="HV34" s="31"/>
      <c r="HW34" s="31"/>
      <c r="HX34" s="31"/>
      <c r="HY34" s="31"/>
      <c r="HZ34" s="31"/>
      <c r="IA34" s="31"/>
      <c r="IB34" s="31"/>
      <c r="IC34" s="31"/>
      <c r="ID34" s="31"/>
      <c r="IE34" s="31"/>
      <c r="IF34" s="31"/>
      <c r="IG34" s="31"/>
      <c r="IH34" s="31"/>
      <c r="II34" s="31"/>
      <c r="IJ34" s="31"/>
      <c r="IK34" s="31"/>
      <c r="IL34" s="31"/>
      <c r="IM34" s="31"/>
      <c r="IN34" s="31"/>
      <c r="IO34" s="31"/>
      <c r="IP34" s="31"/>
      <c r="IQ34" s="31"/>
      <c r="IR34" s="31"/>
      <c r="IS34" s="31"/>
      <c r="IT34" s="31"/>
      <c r="IU34" s="31"/>
      <c r="IV34" s="31"/>
      <c r="IW34" s="31"/>
      <c r="IX34" s="31"/>
      <c r="IY34" s="31"/>
      <c r="IZ34" s="31"/>
      <c r="JA34" s="31"/>
      <c r="JB34" s="31"/>
      <c r="JC34" s="31"/>
      <c r="JD34" s="31"/>
      <c r="JE34" s="31"/>
      <c r="JF34" s="31"/>
      <c r="JG34" s="31"/>
      <c r="JH34" s="31"/>
      <c r="JI34" s="31"/>
      <c r="JJ34" s="31"/>
      <c r="JK34" s="31"/>
      <c r="JL34" s="31"/>
      <c r="JM34" s="31"/>
      <c r="JN34" s="31"/>
      <c r="JO34" s="31"/>
      <c r="JP34" s="31"/>
      <c r="JQ34" s="31"/>
      <c r="JR34" s="31"/>
      <c r="JS34" s="31"/>
      <c r="JT34" s="31"/>
      <c r="JU34" s="31"/>
      <c r="JV34" s="31"/>
      <c r="JW34" s="31"/>
      <c r="JX34" s="31"/>
      <c r="JY34" s="31"/>
      <c r="JZ34" s="31"/>
      <c r="KA34" s="31"/>
      <c r="KB34" s="31"/>
      <c r="KC34" s="31"/>
      <c r="KD34" s="31"/>
      <c r="KE34" s="31"/>
      <c r="KF34" s="31"/>
      <c r="KG34" s="31"/>
      <c r="KH34" s="31"/>
      <c r="KI34" s="31"/>
      <c r="KJ34" s="31"/>
      <c r="KK34" s="31"/>
      <c r="KL34" s="31"/>
      <c r="KM34" s="31"/>
      <c r="KN34" s="31"/>
      <c r="KO34" s="31"/>
      <c r="KP34" s="31"/>
      <c r="KQ34" s="31"/>
      <c r="KR34" s="31"/>
      <c r="KS34" s="31"/>
      <c r="KT34" s="31"/>
      <c r="KU34" s="31"/>
      <c r="KV34" s="31"/>
      <c r="KW34" s="31"/>
      <c r="KX34" s="31"/>
      <c r="KY34" s="31"/>
      <c r="KZ34" s="31"/>
      <c r="LA34" s="31"/>
      <c r="LB34" s="31"/>
      <c r="LC34" s="31"/>
      <c r="LD34" s="31"/>
      <c r="LE34" s="31"/>
      <c r="LF34" s="31"/>
      <c r="LG34" s="31"/>
      <c r="LH34" s="31"/>
      <c r="LI34" s="31"/>
      <c r="LJ34" s="31"/>
      <c r="LK34" s="31"/>
      <c r="LL34" s="31"/>
      <c r="LM34" s="31"/>
      <c r="LN34" s="31"/>
      <c r="LO34" s="31"/>
      <c r="LP34" s="31"/>
      <c r="LQ34" s="31"/>
      <c r="LR34" s="31"/>
      <c r="LS34" s="31"/>
      <c r="LT34" s="31"/>
      <c r="LU34" s="31"/>
      <c r="LV34" s="31"/>
      <c r="LW34" s="31"/>
      <c r="LX34" s="31"/>
      <c r="LY34" s="31"/>
      <c r="LZ34" s="31"/>
      <c r="MA34" s="31"/>
      <c r="MB34" s="31"/>
      <c r="MC34" s="31"/>
      <c r="MD34" s="31"/>
      <c r="ME34" s="31"/>
      <c r="MF34" s="31"/>
      <c r="MG34" s="31"/>
      <c r="MH34" s="31"/>
      <c r="MI34" s="31"/>
      <c r="MJ34" s="31"/>
      <c r="MK34" s="31"/>
      <c r="ML34" s="31"/>
      <c r="MM34" s="31"/>
      <c r="MN34" s="31"/>
      <c r="MO34" s="31"/>
      <c r="MP34" s="31"/>
      <c r="MQ34" s="31"/>
      <c r="MR34" s="31"/>
      <c r="MS34" s="31"/>
      <c r="MT34" s="31"/>
      <c r="MU34" s="31"/>
      <c r="MV34" s="31"/>
      <c r="MW34" s="31"/>
      <c r="MX34" s="31"/>
      <c r="MY34" s="31"/>
      <c r="MZ34" s="31"/>
      <c r="NA34" s="31"/>
      <c r="NB34" s="31"/>
      <c r="NC34" s="31"/>
      <c r="ND34" s="31"/>
      <c r="NE34" s="31"/>
      <c r="NF34" s="31"/>
      <c r="NG34" s="31"/>
      <c r="NH34" s="31"/>
      <c r="NI34" s="31"/>
      <c r="NJ34" s="31"/>
      <c r="NK34" s="31"/>
      <c r="NL34" s="31"/>
      <c r="NM34" s="31"/>
      <c r="NN34" s="31"/>
      <c r="NO34" s="31"/>
      <c r="NP34" s="31"/>
      <c r="NQ34" s="31"/>
      <c r="NR34" s="31"/>
      <c r="NS34" s="31"/>
      <c r="NT34" s="31"/>
      <c r="NU34" s="31"/>
      <c r="NV34" s="31"/>
      <c r="NW34" s="31"/>
      <c r="NX34" s="31"/>
      <c r="NY34" s="31"/>
      <c r="NZ34" s="31"/>
      <c r="OA34" s="31"/>
      <c r="OB34" s="31"/>
      <c r="OC34" s="31"/>
      <c r="OD34" s="31"/>
      <c r="OE34" s="31"/>
      <c r="OF34" s="31"/>
      <c r="OG34" s="31"/>
      <c r="OH34" s="31"/>
      <c r="OI34" s="31"/>
      <c r="OJ34" s="31"/>
      <c r="OK34" s="31"/>
      <c r="OL34" s="31"/>
      <c r="OM34" s="31"/>
      <c r="ON34" s="31"/>
      <c r="OO34" s="31"/>
      <c r="OP34" s="31"/>
      <c r="OQ34" s="31"/>
      <c r="OR34" s="31"/>
      <c r="OS34" s="31"/>
      <c r="OT34" s="31"/>
      <c r="OU34" s="31"/>
      <c r="OV34" s="31"/>
      <c r="OW34" s="31"/>
      <c r="OX34" s="31"/>
      <c r="OY34" s="31"/>
      <c r="OZ34" s="31"/>
      <c r="PA34" s="31"/>
      <c r="PB34" s="31"/>
      <c r="PC34" s="31"/>
      <c r="PD34" s="31"/>
      <c r="PE34" s="31"/>
      <c r="PF34" s="31"/>
      <c r="PG34" s="31"/>
      <c r="PH34" s="31"/>
      <c r="PI34" s="31"/>
      <c r="PJ34" s="31"/>
      <c r="PK34" s="31"/>
      <c r="PL34" s="31"/>
      <c r="PM34" s="31"/>
      <c r="PN34" s="31"/>
      <c r="PO34" s="31"/>
      <c r="PP34" s="31"/>
      <c r="PQ34" s="31"/>
      <c r="PR34" s="31"/>
      <c r="PS34" s="31"/>
      <c r="PT34" s="31"/>
      <c r="PU34" s="31"/>
      <c r="PV34" s="31"/>
      <c r="PW34" s="31"/>
      <c r="PX34" s="31"/>
      <c r="PY34" s="31"/>
      <c r="PZ34" s="31"/>
      <c r="QA34" s="31"/>
      <c r="QB34" s="31"/>
      <c r="QC34" s="31"/>
      <c r="QD34" s="31"/>
      <c r="QE34" s="31"/>
      <c r="QF34" s="31"/>
      <c r="QG34" s="31"/>
      <c r="QH34" s="31"/>
      <c r="QI34" s="31"/>
      <c r="QJ34" s="31"/>
      <c r="QK34" s="31"/>
      <c r="QL34" s="31"/>
      <c r="QM34" s="31"/>
      <c r="QN34" s="31"/>
      <c r="QO34" s="31"/>
      <c r="QP34" s="31"/>
      <c r="QQ34" s="31"/>
      <c r="QR34" s="31"/>
      <c r="QS34" s="31"/>
      <c r="QT34" s="31"/>
      <c r="QU34" s="31"/>
      <c r="QV34" s="31"/>
      <c r="QW34" s="31"/>
      <c r="QX34" s="31"/>
      <c r="QY34" s="31"/>
      <c r="QZ34" s="31"/>
      <c r="RA34" s="31"/>
      <c r="RB34" s="31"/>
      <c r="RC34" s="31"/>
      <c r="RD34" s="31"/>
      <c r="RE34" s="31"/>
      <c r="RF34" s="31"/>
      <c r="RG34" s="31"/>
      <c r="RH34" s="31"/>
      <c r="RI34" s="31"/>
      <c r="RJ34" s="31"/>
      <c r="RK34" s="31"/>
      <c r="RL34" s="31"/>
      <c r="RM34" s="31"/>
      <c r="RN34" s="31"/>
      <c r="RO34" s="31"/>
      <c r="RP34" s="31"/>
      <c r="RQ34" s="31"/>
      <c r="RR34" s="31"/>
      <c r="RS34" s="31"/>
      <c r="RT34" s="31"/>
      <c r="RU34" s="31"/>
      <c r="RV34" s="31"/>
      <c r="RW34" s="31"/>
      <c r="RX34" s="31"/>
      <c r="RY34" s="31"/>
      <c r="RZ34" s="31"/>
      <c r="SA34" s="31"/>
      <c r="SB34" s="31"/>
      <c r="SC34" s="31"/>
      <c r="SD34" s="78"/>
      <c r="SE34" s="31"/>
      <c r="SF34" s="31"/>
      <c r="SG34" s="31"/>
      <c r="SH34" s="31"/>
      <c r="SI34" s="31"/>
      <c r="SJ34" s="82"/>
      <c r="SK34" s="6"/>
    </row>
    <row r="35" ht="14.25" customHeight="1">
      <c r="A35" s="80" t="s">
        <v>567</v>
      </c>
      <c r="B35" s="30" t="s">
        <v>595</v>
      </c>
      <c r="C35" s="81"/>
      <c r="D35" s="74">
        <f t="shared" si="4"/>
        <v>0</v>
      </c>
      <c r="E35" s="78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  <c r="DG35" s="31"/>
      <c r="DH35" s="31"/>
      <c r="DI35" s="31"/>
      <c r="DJ35" s="31"/>
      <c r="DK35" s="31"/>
      <c r="DL35" s="31"/>
      <c r="DM35" s="31"/>
      <c r="DN35" s="31"/>
      <c r="DO35" s="31"/>
      <c r="DP35" s="31"/>
      <c r="DQ35" s="31"/>
      <c r="DR35" s="31"/>
      <c r="DS35" s="31"/>
      <c r="DT35" s="31"/>
      <c r="DU35" s="31"/>
      <c r="DV35" s="31"/>
      <c r="DW35" s="31"/>
      <c r="DX35" s="31"/>
      <c r="DY35" s="31"/>
      <c r="DZ35" s="31"/>
      <c r="EA35" s="31"/>
      <c r="EB35" s="31"/>
      <c r="EC35" s="31"/>
      <c r="ED35" s="31"/>
      <c r="EE35" s="31"/>
      <c r="EF35" s="31"/>
      <c r="EG35" s="31"/>
      <c r="EH35" s="31"/>
      <c r="EI35" s="31"/>
      <c r="EJ35" s="31"/>
      <c r="EK35" s="31"/>
      <c r="EL35" s="31"/>
      <c r="EM35" s="31"/>
      <c r="EN35" s="31"/>
      <c r="EO35" s="31"/>
      <c r="EP35" s="31"/>
      <c r="EQ35" s="31"/>
      <c r="ER35" s="31"/>
      <c r="ES35" s="31"/>
      <c r="ET35" s="31"/>
      <c r="EU35" s="31"/>
      <c r="EV35" s="31"/>
      <c r="EW35" s="31"/>
      <c r="EX35" s="31"/>
      <c r="EY35" s="31"/>
      <c r="EZ35" s="31"/>
      <c r="FA35" s="31"/>
      <c r="FB35" s="31"/>
      <c r="FC35" s="31"/>
      <c r="FD35" s="31"/>
      <c r="FE35" s="31"/>
      <c r="FF35" s="31"/>
      <c r="FG35" s="31"/>
      <c r="FH35" s="31"/>
      <c r="FI35" s="31"/>
      <c r="FJ35" s="31"/>
      <c r="FK35" s="31"/>
      <c r="FL35" s="31"/>
      <c r="FM35" s="31"/>
      <c r="FN35" s="31"/>
      <c r="FO35" s="31"/>
      <c r="FP35" s="31"/>
      <c r="FQ35" s="31"/>
      <c r="FR35" s="31"/>
      <c r="FS35" s="31"/>
      <c r="FT35" s="31"/>
      <c r="FU35" s="31"/>
      <c r="FV35" s="31"/>
      <c r="FW35" s="31"/>
      <c r="FX35" s="31"/>
      <c r="FY35" s="31"/>
      <c r="FZ35" s="31"/>
      <c r="GA35" s="31"/>
      <c r="GB35" s="31"/>
      <c r="GC35" s="31"/>
      <c r="GD35" s="31"/>
      <c r="GE35" s="31"/>
      <c r="GF35" s="31"/>
      <c r="GG35" s="31"/>
      <c r="GH35" s="31"/>
      <c r="GI35" s="31"/>
      <c r="GJ35" s="31"/>
      <c r="GK35" s="31"/>
      <c r="GL35" s="31"/>
      <c r="GM35" s="31"/>
      <c r="GN35" s="31"/>
      <c r="GO35" s="31"/>
      <c r="GP35" s="31"/>
      <c r="GQ35" s="31"/>
      <c r="GR35" s="31"/>
      <c r="GS35" s="31"/>
      <c r="GT35" s="31"/>
      <c r="GU35" s="31"/>
      <c r="GV35" s="31"/>
      <c r="GW35" s="31"/>
      <c r="GX35" s="31"/>
      <c r="GY35" s="31"/>
      <c r="GZ35" s="31"/>
      <c r="HA35" s="31"/>
      <c r="HB35" s="31"/>
      <c r="HC35" s="31"/>
      <c r="HD35" s="31"/>
      <c r="HE35" s="31"/>
      <c r="HF35" s="31"/>
      <c r="HG35" s="31"/>
      <c r="HH35" s="31"/>
      <c r="HI35" s="31"/>
      <c r="HJ35" s="31"/>
      <c r="HK35" s="31"/>
      <c r="HL35" s="31"/>
      <c r="HM35" s="31"/>
      <c r="HN35" s="31"/>
      <c r="HO35" s="31"/>
      <c r="HP35" s="31"/>
      <c r="HQ35" s="31"/>
      <c r="HR35" s="31"/>
      <c r="HS35" s="31"/>
      <c r="HT35" s="31"/>
      <c r="HU35" s="31"/>
      <c r="HV35" s="31"/>
      <c r="HW35" s="31"/>
      <c r="HX35" s="31"/>
      <c r="HY35" s="31"/>
      <c r="HZ35" s="31"/>
      <c r="IA35" s="31"/>
      <c r="IB35" s="31"/>
      <c r="IC35" s="31"/>
      <c r="ID35" s="31"/>
      <c r="IE35" s="31"/>
      <c r="IF35" s="31"/>
      <c r="IG35" s="31"/>
      <c r="IH35" s="31"/>
      <c r="II35" s="31"/>
      <c r="IJ35" s="31"/>
      <c r="IK35" s="31"/>
      <c r="IL35" s="31"/>
      <c r="IM35" s="31"/>
      <c r="IN35" s="31"/>
      <c r="IO35" s="31"/>
      <c r="IP35" s="31"/>
      <c r="IQ35" s="31"/>
      <c r="IR35" s="31"/>
      <c r="IS35" s="31"/>
      <c r="IT35" s="31"/>
      <c r="IU35" s="31"/>
      <c r="IV35" s="31"/>
      <c r="IW35" s="31"/>
      <c r="IX35" s="31"/>
      <c r="IY35" s="31"/>
      <c r="IZ35" s="31"/>
      <c r="JA35" s="31"/>
      <c r="JB35" s="31"/>
      <c r="JC35" s="31"/>
      <c r="JD35" s="31"/>
      <c r="JE35" s="31"/>
      <c r="JF35" s="31"/>
      <c r="JG35" s="31"/>
      <c r="JH35" s="31"/>
      <c r="JI35" s="31"/>
      <c r="JJ35" s="31"/>
      <c r="JK35" s="31"/>
      <c r="JL35" s="31"/>
      <c r="JM35" s="31"/>
      <c r="JN35" s="31"/>
      <c r="JO35" s="31"/>
      <c r="JP35" s="31"/>
      <c r="JQ35" s="31"/>
      <c r="JR35" s="31"/>
      <c r="JS35" s="31"/>
      <c r="JT35" s="31"/>
      <c r="JU35" s="31"/>
      <c r="JV35" s="31"/>
      <c r="JW35" s="31"/>
      <c r="JX35" s="31"/>
      <c r="JY35" s="31"/>
      <c r="JZ35" s="31"/>
      <c r="KA35" s="31"/>
      <c r="KB35" s="31"/>
      <c r="KC35" s="31"/>
      <c r="KD35" s="31"/>
      <c r="KE35" s="31"/>
      <c r="KF35" s="31"/>
      <c r="KG35" s="31"/>
      <c r="KH35" s="31"/>
      <c r="KI35" s="31"/>
      <c r="KJ35" s="31"/>
      <c r="KK35" s="31"/>
      <c r="KL35" s="31"/>
      <c r="KM35" s="31"/>
      <c r="KN35" s="31"/>
      <c r="KO35" s="31"/>
      <c r="KP35" s="31"/>
      <c r="KQ35" s="31"/>
      <c r="KR35" s="31"/>
      <c r="KS35" s="31"/>
      <c r="KT35" s="31"/>
      <c r="KU35" s="31"/>
      <c r="KV35" s="31"/>
      <c r="KW35" s="31"/>
      <c r="KX35" s="31"/>
      <c r="KY35" s="31"/>
      <c r="KZ35" s="31"/>
      <c r="LA35" s="31"/>
      <c r="LB35" s="31"/>
      <c r="LC35" s="31"/>
      <c r="LD35" s="31"/>
      <c r="LE35" s="31"/>
      <c r="LF35" s="31"/>
      <c r="LG35" s="31"/>
      <c r="LH35" s="31"/>
      <c r="LI35" s="31"/>
      <c r="LJ35" s="31"/>
      <c r="LK35" s="31"/>
      <c r="LL35" s="31"/>
      <c r="LM35" s="31"/>
      <c r="LN35" s="31"/>
      <c r="LO35" s="31"/>
      <c r="LP35" s="31"/>
      <c r="LQ35" s="31"/>
      <c r="LR35" s="31"/>
      <c r="LS35" s="31"/>
      <c r="LT35" s="31"/>
      <c r="LU35" s="31"/>
      <c r="LV35" s="31"/>
      <c r="LW35" s="31"/>
      <c r="LX35" s="31"/>
      <c r="LY35" s="31"/>
      <c r="LZ35" s="31"/>
      <c r="MA35" s="31"/>
      <c r="MB35" s="31"/>
      <c r="MC35" s="31"/>
      <c r="MD35" s="31"/>
      <c r="ME35" s="31"/>
      <c r="MF35" s="31"/>
      <c r="MG35" s="31"/>
      <c r="MH35" s="31"/>
      <c r="MI35" s="31"/>
      <c r="MJ35" s="31"/>
      <c r="MK35" s="31"/>
      <c r="ML35" s="31"/>
      <c r="MM35" s="31"/>
      <c r="MN35" s="31"/>
      <c r="MO35" s="31"/>
      <c r="MP35" s="31"/>
      <c r="MQ35" s="31"/>
      <c r="MR35" s="31"/>
      <c r="MS35" s="31"/>
      <c r="MT35" s="31"/>
      <c r="MU35" s="31"/>
      <c r="MV35" s="31"/>
      <c r="MW35" s="31"/>
      <c r="MX35" s="31"/>
      <c r="MY35" s="31"/>
      <c r="MZ35" s="31"/>
      <c r="NA35" s="31"/>
      <c r="NB35" s="31"/>
      <c r="NC35" s="31"/>
      <c r="ND35" s="31"/>
      <c r="NE35" s="31"/>
      <c r="NF35" s="31"/>
      <c r="NG35" s="31"/>
      <c r="NH35" s="31"/>
      <c r="NI35" s="31"/>
      <c r="NJ35" s="31"/>
      <c r="NK35" s="31"/>
      <c r="NL35" s="31"/>
      <c r="NM35" s="31"/>
      <c r="NN35" s="31"/>
      <c r="NO35" s="31"/>
      <c r="NP35" s="31"/>
      <c r="NQ35" s="31"/>
      <c r="NR35" s="31"/>
      <c r="NS35" s="31"/>
      <c r="NT35" s="31"/>
      <c r="NU35" s="31"/>
      <c r="NV35" s="31"/>
      <c r="NW35" s="31"/>
      <c r="NX35" s="31"/>
      <c r="NY35" s="31"/>
      <c r="NZ35" s="31"/>
      <c r="OA35" s="31"/>
      <c r="OB35" s="31"/>
      <c r="OC35" s="31"/>
      <c r="OD35" s="31"/>
      <c r="OE35" s="31"/>
      <c r="OF35" s="31"/>
      <c r="OG35" s="31"/>
      <c r="OH35" s="31"/>
      <c r="OI35" s="31"/>
      <c r="OJ35" s="31"/>
      <c r="OK35" s="31"/>
      <c r="OL35" s="31"/>
      <c r="OM35" s="31"/>
      <c r="ON35" s="31"/>
      <c r="OO35" s="31"/>
      <c r="OP35" s="31"/>
      <c r="OQ35" s="31"/>
      <c r="OR35" s="31"/>
      <c r="OS35" s="31"/>
      <c r="OT35" s="31"/>
      <c r="OU35" s="31"/>
      <c r="OV35" s="31"/>
      <c r="OW35" s="31"/>
      <c r="OX35" s="31"/>
      <c r="OY35" s="31"/>
      <c r="OZ35" s="31"/>
      <c r="PA35" s="31"/>
      <c r="PB35" s="31"/>
      <c r="PC35" s="31"/>
      <c r="PD35" s="31"/>
      <c r="PE35" s="31"/>
      <c r="PF35" s="31"/>
      <c r="PG35" s="31"/>
      <c r="PH35" s="31"/>
      <c r="PI35" s="31"/>
      <c r="PJ35" s="31"/>
      <c r="PK35" s="31"/>
      <c r="PL35" s="31"/>
      <c r="PM35" s="31"/>
      <c r="PN35" s="31"/>
      <c r="PO35" s="31"/>
      <c r="PP35" s="31"/>
      <c r="PQ35" s="31"/>
      <c r="PR35" s="31"/>
      <c r="PS35" s="31"/>
      <c r="PT35" s="31"/>
      <c r="PU35" s="31"/>
      <c r="PV35" s="31"/>
      <c r="PW35" s="31"/>
      <c r="PX35" s="31"/>
      <c r="PY35" s="31"/>
      <c r="PZ35" s="31"/>
      <c r="QA35" s="31"/>
      <c r="QB35" s="31"/>
      <c r="QC35" s="31"/>
      <c r="QD35" s="31"/>
      <c r="QE35" s="31"/>
      <c r="QF35" s="31"/>
      <c r="QG35" s="31"/>
      <c r="QH35" s="31"/>
      <c r="QI35" s="31"/>
      <c r="QJ35" s="31"/>
      <c r="QK35" s="31"/>
      <c r="QL35" s="31"/>
      <c r="QM35" s="31"/>
      <c r="QN35" s="31"/>
      <c r="QO35" s="31"/>
      <c r="QP35" s="31"/>
      <c r="QQ35" s="31"/>
      <c r="QR35" s="31"/>
      <c r="QS35" s="31"/>
      <c r="QT35" s="31"/>
      <c r="QU35" s="31"/>
      <c r="QV35" s="31"/>
      <c r="QW35" s="31"/>
      <c r="QX35" s="31"/>
      <c r="QY35" s="31"/>
      <c r="QZ35" s="31"/>
      <c r="RA35" s="31"/>
      <c r="RB35" s="31"/>
      <c r="RC35" s="31"/>
      <c r="RD35" s="31"/>
      <c r="RE35" s="31"/>
      <c r="RF35" s="31"/>
      <c r="RG35" s="31"/>
      <c r="RH35" s="31"/>
      <c r="RI35" s="31"/>
      <c r="RJ35" s="31"/>
      <c r="RK35" s="31"/>
      <c r="RL35" s="31"/>
      <c r="RM35" s="31"/>
      <c r="RN35" s="31"/>
      <c r="RO35" s="31"/>
      <c r="RP35" s="31"/>
      <c r="RQ35" s="31"/>
      <c r="RR35" s="31"/>
      <c r="RS35" s="31"/>
      <c r="RT35" s="31"/>
      <c r="RU35" s="31"/>
      <c r="RV35" s="31"/>
      <c r="RW35" s="31"/>
      <c r="RX35" s="31"/>
      <c r="RY35" s="31"/>
      <c r="RZ35" s="31"/>
      <c r="SA35" s="31"/>
      <c r="SB35" s="31"/>
      <c r="SC35" s="31"/>
      <c r="SD35" s="78"/>
      <c r="SE35" s="31"/>
      <c r="SF35" s="31"/>
      <c r="SG35" s="31"/>
      <c r="SH35" s="31"/>
      <c r="SI35" s="31"/>
      <c r="SJ35" s="82"/>
      <c r="SK35" s="6"/>
    </row>
    <row r="36" ht="14.25" customHeight="1">
      <c r="A36" s="80" t="s">
        <v>567</v>
      </c>
      <c r="B36" s="30" t="s">
        <v>596</v>
      </c>
      <c r="C36" s="81"/>
      <c r="D36" s="74">
        <f t="shared" si="4"/>
        <v>638</v>
      </c>
      <c r="E36" s="78"/>
      <c r="F36" s="31"/>
      <c r="G36" s="31"/>
      <c r="H36" s="31"/>
      <c r="I36" s="31"/>
      <c r="J36" s="83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83"/>
      <c r="BO36" s="31"/>
      <c r="BP36" s="31"/>
      <c r="BQ36" s="31"/>
      <c r="BR36" s="31"/>
      <c r="BS36" s="31"/>
      <c r="BT36" s="31"/>
      <c r="BU36" s="31"/>
      <c r="BV36" s="31"/>
      <c r="BW36" s="83"/>
      <c r="BX36" s="83"/>
      <c r="BY36" s="31"/>
      <c r="BZ36" s="31"/>
      <c r="CA36" s="31"/>
      <c r="CB36" s="31"/>
      <c r="CC36" s="31"/>
      <c r="CD36" s="31"/>
      <c r="CE36" s="31"/>
      <c r="CF36" s="31"/>
      <c r="CG36" s="31"/>
      <c r="CH36" s="83">
        <v>309.0</v>
      </c>
      <c r="CI36" s="83">
        <v>329.0</v>
      </c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31"/>
      <c r="DG36" s="31"/>
      <c r="DH36" s="31"/>
      <c r="DI36" s="31"/>
      <c r="DJ36" s="31"/>
      <c r="DK36" s="31"/>
      <c r="DL36" s="31"/>
      <c r="DM36" s="31"/>
      <c r="DN36" s="31"/>
      <c r="DO36" s="31"/>
      <c r="DP36" s="31"/>
      <c r="DQ36" s="31"/>
      <c r="DR36" s="31"/>
      <c r="DS36" s="31"/>
      <c r="DT36" s="31"/>
      <c r="DU36" s="31"/>
      <c r="DV36" s="31"/>
      <c r="DW36" s="31"/>
      <c r="DX36" s="31"/>
      <c r="DY36" s="31"/>
      <c r="DZ36" s="31"/>
      <c r="EA36" s="31"/>
      <c r="EB36" s="31"/>
      <c r="EC36" s="31"/>
      <c r="ED36" s="31"/>
      <c r="EE36" s="31"/>
      <c r="EF36" s="31"/>
      <c r="EG36" s="31"/>
      <c r="EH36" s="31"/>
      <c r="EI36" s="31"/>
      <c r="EJ36" s="31"/>
      <c r="EK36" s="31"/>
      <c r="EL36" s="31"/>
      <c r="EM36" s="31"/>
      <c r="EN36" s="31"/>
      <c r="EO36" s="31"/>
      <c r="EP36" s="31"/>
      <c r="EQ36" s="31"/>
      <c r="ER36" s="31"/>
      <c r="ES36" s="31"/>
      <c r="ET36" s="31"/>
      <c r="EU36" s="31"/>
      <c r="EV36" s="31"/>
      <c r="EW36" s="31"/>
      <c r="EX36" s="31"/>
      <c r="EY36" s="31"/>
      <c r="EZ36" s="31"/>
      <c r="FA36" s="31"/>
      <c r="FB36" s="31"/>
      <c r="FC36" s="31"/>
      <c r="FD36" s="31"/>
      <c r="FE36" s="31"/>
      <c r="FF36" s="31"/>
      <c r="FG36" s="31"/>
      <c r="FH36" s="31"/>
      <c r="FI36" s="31"/>
      <c r="FJ36" s="31"/>
      <c r="FK36" s="31"/>
      <c r="FL36" s="31"/>
      <c r="FM36" s="31"/>
      <c r="FN36" s="31"/>
      <c r="FO36" s="31"/>
      <c r="FP36" s="31"/>
      <c r="FQ36" s="31"/>
      <c r="FR36" s="31"/>
      <c r="FS36" s="31"/>
      <c r="FT36" s="31"/>
      <c r="FU36" s="31"/>
      <c r="FV36" s="31"/>
      <c r="FW36" s="31"/>
      <c r="FX36" s="31"/>
      <c r="FY36" s="31"/>
      <c r="FZ36" s="31"/>
      <c r="GA36" s="31"/>
      <c r="GB36" s="31"/>
      <c r="GC36" s="31"/>
      <c r="GD36" s="31"/>
      <c r="GE36" s="31"/>
      <c r="GF36" s="31"/>
      <c r="GG36" s="31"/>
      <c r="GH36" s="31"/>
      <c r="GI36" s="31"/>
      <c r="GJ36" s="31"/>
      <c r="GK36" s="31"/>
      <c r="GL36" s="31"/>
      <c r="GM36" s="31"/>
      <c r="GN36" s="31"/>
      <c r="GO36" s="31"/>
      <c r="GP36" s="31"/>
      <c r="GQ36" s="31"/>
      <c r="GR36" s="31"/>
      <c r="GS36" s="31"/>
      <c r="GT36" s="31"/>
      <c r="GU36" s="31"/>
      <c r="GV36" s="31"/>
      <c r="GW36" s="31"/>
      <c r="GX36" s="31"/>
      <c r="GY36" s="31"/>
      <c r="GZ36" s="31"/>
      <c r="HA36" s="31"/>
      <c r="HB36" s="31"/>
      <c r="HC36" s="31"/>
      <c r="HD36" s="31"/>
      <c r="HE36" s="31"/>
      <c r="HF36" s="31"/>
      <c r="HG36" s="31"/>
      <c r="HH36" s="31"/>
      <c r="HI36" s="31"/>
      <c r="HJ36" s="31"/>
      <c r="HK36" s="31"/>
      <c r="HL36" s="31"/>
      <c r="HM36" s="31"/>
      <c r="HN36" s="31"/>
      <c r="HO36" s="31"/>
      <c r="HP36" s="31"/>
      <c r="HQ36" s="31"/>
      <c r="HR36" s="31"/>
      <c r="HS36" s="31"/>
      <c r="HT36" s="31"/>
      <c r="HU36" s="31"/>
      <c r="HV36" s="31"/>
      <c r="HW36" s="31"/>
      <c r="HX36" s="31"/>
      <c r="HY36" s="31"/>
      <c r="HZ36" s="31"/>
      <c r="IA36" s="31"/>
      <c r="IB36" s="31"/>
      <c r="IC36" s="31"/>
      <c r="ID36" s="31"/>
      <c r="IE36" s="31"/>
      <c r="IF36" s="31"/>
      <c r="IG36" s="31"/>
      <c r="IH36" s="31"/>
      <c r="II36" s="31"/>
      <c r="IJ36" s="31"/>
      <c r="IK36" s="31"/>
      <c r="IL36" s="31"/>
      <c r="IM36" s="31"/>
      <c r="IN36" s="31"/>
      <c r="IO36" s="31"/>
      <c r="IP36" s="31"/>
      <c r="IQ36" s="31"/>
      <c r="IR36" s="31"/>
      <c r="IS36" s="31"/>
      <c r="IT36" s="31"/>
      <c r="IU36" s="31"/>
      <c r="IV36" s="31"/>
      <c r="IW36" s="31"/>
      <c r="IX36" s="31"/>
      <c r="IY36" s="31"/>
      <c r="IZ36" s="31"/>
      <c r="JA36" s="31"/>
      <c r="JB36" s="31"/>
      <c r="JC36" s="31"/>
      <c r="JD36" s="31"/>
      <c r="JE36" s="31"/>
      <c r="JF36" s="31"/>
      <c r="JG36" s="31"/>
      <c r="JH36" s="31"/>
      <c r="JI36" s="31"/>
      <c r="JJ36" s="31"/>
      <c r="JK36" s="31"/>
      <c r="JL36" s="31"/>
      <c r="JM36" s="31"/>
      <c r="JN36" s="31"/>
      <c r="JO36" s="31"/>
      <c r="JP36" s="31"/>
      <c r="JQ36" s="31"/>
      <c r="JR36" s="31"/>
      <c r="JS36" s="31"/>
      <c r="JT36" s="31"/>
      <c r="JU36" s="31"/>
      <c r="JV36" s="31"/>
      <c r="JW36" s="31"/>
      <c r="JX36" s="31"/>
      <c r="JY36" s="31"/>
      <c r="JZ36" s="31"/>
      <c r="KA36" s="31"/>
      <c r="KB36" s="31"/>
      <c r="KC36" s="31"/>
      <c r="KD36" s="31"/>
      <c r="KE36" s="31"/>
      <c r="KF36" s="31"/>
      <c r="KG36" s="31"/>
      <c r="KH36" s="31"/>
      <c r="KI36" s="31"/>
      <c r="KJ36" s="31"/>
      <c r="KK36" s="31"/>
      <c r="KL36" s="31"/>
      <c r="KM36" s="31"/>
      <c r="KN36" s="31"/>
      <c r="KO36" s="31"/>
      <c r="KP36" s="31"/>
      <c r="KQ36" s="31"/>
      <c r="KR36" s="31"/>
      <c r="KS36" s="31"/>
      <c r="KT36" s="31"/>
      <c r="KU36" s="31"/>
      <c r="KV36" s="31"/>
      <c r="KW36" s="31"/>
      <c r="KX36" s="31"/>
      <c r="KY36" s="31"/>
      <c r="KZ36" s="31"/>
      <c r="LA36" s="31"/>
      <c r="LB36" s="31"/>
      <c r="LC36" s="31"/>
      <c r="LD36" s="31"/>
      <c r="LE36" s="31"/>
      <c r="LF36" s="31"/>
      <c r="LG36" s="31"/>
      <c r="LH36" s="31"/>
      <c r="LI36" s="31"/>
      <c r="LJ36" s="31"/>
      <c r="LK36" s="31"/>
      <c r="LL36" s="31"/>
      <c r="LM36" s="31"/>
      <c r="LN36" s="31"/>
      <c r="LO36" s="31"/>
      <c r="LP36" s="31"/>
      <c r="LQ36" s="31"/>
      <c r="LR36" s="31"/>
      <c r="LS36" s="31"/>
      <c r="LT36" s="31"/>
      <c r="LU36" s="31"/>
      <c r="LV36" s="31"/>
      <c r="LW36" s="31"/>
      <c r="LX36" s="31"/>
      <c r="LY36" s="31"/>
      <c r="LZ36" s="31"/>
      <c r="MA36" s="31"/>
      <c r="MB36" s="31"/>
      <c r="MC36" s="31"/>
      <c r="MD36" s="31"/>
      <c r="ME36" s="31"/>
      <c r="MF36" s="31"/>
      <c r="MG36" s="31"/>
      <c r="MH36" s="31"/>
      <c r="MI36" s="31"/>
      <c r="MJ36" s="31"/>
      <c r="MK36" s="31"/>
      <c r="ML36" s="31"/>
      <c r="MM36" s="31"/>
      <c r="MN36" s="31"/>
      <c r="MO36" s="31"/>
      <c r="MP36" s="31"/>
      <c r="MQ36" s="31"/>
      <c r="MR36" s="31"/>
      <c r="MS36" s="31"/>
      <c r="MT36" s="31"/>
      <c r="MU36" s="31"/>
      <c r="MV36" s="31"/>
      <c r="MW36" s="31"/>
      <c r="MX36" s="31"/>
      <c r="MY36" s="31"/>
      <c r="MZ36" s="31"/>
      <c r="NA36" s="31"/>
      <c r="NB36" s="31"/>
      <c r="NC36" s="31"/>
      <c r="ND36" s="31"/>
      <c r="NE36" s="31"/>
      <c r="NF36" s="31"/>
      <c r="NG36" s="31"/>
      <c r="NH36" s="31"/>
      <c r="NI36" s="31"/>
      <c r="NJ36" s="31"/>
      <c r="NK36" s="31"/>
      <c r="NL36" s="31"/>
      <c r="NM36" s="31"/>
      <c r="NN36" s="31"/>
      <c r="NO36" s="31"/>
      <c r="NP36" s="31"/>
      <c r="NQ36" s="31"/>
      <c r="NR36" s="31"/>
      <c r="NS36" s="31"/>
      <c r="NT36" s="31"/>
      <c r="NU36" s="31"/>
      <c r="NV36" s="31"/>
      <c r="NW36" s="31"/>
      <c r="NX36" s="31"/>
      <c r="NY36" s="31"/>
      <c r="NZ36" s="31"/>
      <c r="OA36" s="31"/>
      <c r="OB36" s="31"/>
      <c r="OC36" s="31"/>
      <c r="OD36" s="31"/>
      <c r="OE36" s="31"/>
      <c r="OF36" s="31"/>
      <c r="OG36" s="31"/>
      <c r="OH36" s="31"/>
      <c r="OI36" s="31"/>
      <c r="OJ36" s="31"/>
      <c r="OK36" s="31"/>
      <c r="OL36" s="31"/>
      <c r="OM36" s="31"/>
      <c r="ON36" s="31"/>
      <c r="OO36" s="31"/>
      <c r="OP36" s="31"/>
      <c r="OQ36" s="31"/>
      <c r="OR36" s="31"/>
      <c r="OS36" s="31"/>
      <c r="OT36" s="31"/>
      <c r="OU36" s="31"/>
      <c r="OV36" s="31"/>
      <c r="OW36" s="31"/>
      <c r="OX36" s="31"/>
      <c r="OY36" s="31"/>
      <c r="OZ36" s="31"/>
      <c r="PA36" s="31"/>
      <c r="PB36" s="31"/>
      <c r="PC36" s="31"/>
      <c r="PD36" s="31"/>
      <c r="PE36" s="31"/>
      <c r="PF36" s="31"/>
      <c r="PG36" s="31"/>
      <c r="PH36" s="31"/>
      <c r="PI36" s="31"/>
      <c r="PJ36" s="31"/>
      <c r="PK36" s="31"/>
      <c r="PL36" s="31"/>
      <c r="PM36" s="31"/>
      <c r="PN36" s="31"/>
      <c r="PO36" s="31"/>
      <c r="PP36" s="31"/>
      <c r="PQ36" s="31"/>
      <c r="PR36" s="31"/>
      <c r="PS36" s="31"/>
      <c r="PT36" s="31"/>
      <c r="PU36" s="31"/>
      <c r="PV36" s="31"/>
      <c r="PW36" s="31"/>
      <c r="PX36" s="31"/>
      <c r="PY36" s="31"/>
      <c r="PZ36" s="31"/>
      <c r="QA36" s="31"/>
      <c r="QB36" s="31"/>
      <c r="QC36" s="31"/>
      <c r="QD36" s="31"/>
      <c r="QE36" s="31"/>
      <c r="QF36" s="31"/>
      <c r="QG36" s="31"/>
      <c r="QH36" s="31"/>
      <c r="QI36" s="31"/>
      <c r="QJ36" s="31"/>
      <c r="QK36" s="31"/>
      <c r="QL36" s="31"/>
      <c r="QM36" s="31"/>
      <c r="QN36" s="31"/>
      <c r="QO36" s="31"/>
      <c r="QP36" s="31"/>
      <c r="QQ36" s="31"/>
      <c r="QR36" s="31"/>
      <c r="QS36" s="31"/>
      <c r="QT36" s="31"/>
      <c r="QU36" s="31"/>
      <c r="QV36" s="31"/>
      <c r="QW36" s="31"/>
      <c r="QX36" s="31"/>
      <c r="QY36" s="31"/>
      <c r="QZ36" s="31"/>
      <c r="RA36" s="31"/>
      <c r="RB36" s="31"/>
      <c r="RC36" s="31"/>
      <c r="RD36" s="31"/>
      <c r="RE36" s="31"/>
      <c r="RF36" s="31"/>
      <c r="RG36" s="31"/>
      <c r="RH36" s="31"/>
      <c r="RI36" s="31"/>
      <c r="RJ36" s="31"/>
      <c r="RK36" s="31"/>
      <c r="RL36" s="31"/>
      <c r="RM36" s="31"/>
      <c r="RN36" s="31"/>
      <c r="RO36" s="31"/>
      <c r="RP36" s="31"/>
      <c r="RQ36" s="31"/>
      <c r="RR36" s="31"/>
      <c r="RS36" s="31"/>
      <c r="RT36" s="31"/>
      <c r="RU36" s="31"/>
      <c r="RV36" s="31"/>
      <c r="RW36" s="31"/>
      <c r="RX36" s="31"/>
      <c r="RY36" s="31"/>
      <c r="RZ36" s="31"/>
      <c r="SA36" s="31"/>
      <c r="SB36" s="31"/>
      <c r="SC36" s="31"/>
      <c r="SD36" s="78"/>
      <c r="SE36" s="31"/>
      <c r="SF36" s="31"/>
      <c r="SG36" s="31"/>
      <c r="SH36" s="31"/>
      <c r="SI36" s="31"/>
      <c r="SJ36" s="82"/>
      <c r="SK36" s="6"/>
    </row>
    <row r="37" ht="14.25" customHeight="1">
      <c r="A37" s="80" t="s">
        <v>567</v>
      </c>
      <c r="B37" s="30" t="s">
        <v>597</v>
      </c>
      <c r="C37" s="81"/>
      <c r="D37" s="74">
        <f t="shared" si="4"/>
        <v>2989</v>
      </c>
      <c r="E37" s="78"/>
      <c r="F37" s="31"/>
      <c r="G37" s="31"/>
      <c r="H37" s="31"/>
      <c r="I37" s="83">
        <v>502.5</v>
      </c>
      <c r="J37" s="31"/>
      <c r="K37" s="31"/>
      <c r="L37" s="31"/>
      <c r="M37" s="31"/>
      <c r="N37" s="31"/>
      <c r="O37" s="31"/>
      <c r="P37" s="31"/>
      <c r="Q37" s="83">
        <v>524.0</v>
      </c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83">
        <v>347.5</v>
      </c>
      <c r="AU37" s="31"/>
      <c r="AV37" s="31"/>
      <c r="AW37" s="31"/>
      <c r="AX37" s="31"/>
      <c r="AY37" s="31"/>
      <c r="AZ37" s="31"/>
      <c r="BA37" s="83">
        <v>317.5</v>
      </c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83">
        <v>395.0</v>
      </c>
      <c r="BO37" s="31"/>
      <c r="BP37" s="31"/>
      <c r="BQ37" s="83">
        <v>312.5</v>
      </c>
      <c r="BR37" s="83">
        <v>381.0</v>
      </c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83">
        <v>209.0</v>
      </c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  <c r="HE37" s="31"/>
      <c r="HF37" s="31"/>
      <c r="HG37" s="31"/>
      <c r="HH37" s="31"/>
      <c r="HI37" s="31"/>
      <c r="HJ37" s="31"/>
      <c r="HK37" s="31"/>
      <c r="HL37" s="31"/>
      <c r="HM37" s="31"/>
      <c r="HN37" s="31"/>
      <c r="HO37" s="31"/>
      <c r="HP37" s="31"/>
      <c r="HQ37" s="31"/>
      <c r="HR37" s="31"/>
      <c r="HS37" s="31"/>
      <c r="HT37" s="31"/>
      <c r="HU37" s="31"/>
      <c r="HV37" s="31"/>
      <c r="HW37" s="31"/>
      <c r="HX37" s="31"/>
      <c r="HY37" s="31"/>
      <c r="HZ37" s="31"/>
      <c r="IA37" s="31"/>
      <c r="IB37" s="31"/>
      <c r="IC37" s="31"/>
      <c r="ID37" s="31"/>
      <c r="IE37" s="31"/>
      <c r="IF37" s="31"/>
      <c r="IG37" s="31"/>
      <c r="IH37" s="31"/>
      <c r="II37" s="31"/>
      <c r="IJ37" s="31"/>
      <c r="IK37" s="31"/>
      <c r="IL37" s="31"/>
      <c r="IM37" s="31"/>
      <c r="IN37" s="31"/>
      <c r="IO37" s="31"/>
      <c r="IP37" s="31"/>
      <c r="IQ37" s="31"/>
      <c r="IR37" s="31"/>
      <c r="IS37" s="31"/>
      <c r="IT37" s="31"/>
      <c r="IU37" s="31"/>
      <c r="IV37" s="31"/>
      <c r="IW37" s="31"/>
      <c r="IX37" s="31"/>
      <c r="IY37" s="31"/>
      <c r="IZ37" s="31"/>
      <c r="JA37" s="31"/>
      <c r="JB37" s="31"/>
      <c r="JC37" s="31"/>
      <c r="JD37" s="31"/>
      <c r="JE37" s="31"/>
      <c r="JF37" s="31"/>
      <c r="JG37" s="31"/>
      <c r="JH37" s="31"/>
      <c r="JI37" s="31"/>
      <c r="JJ37" s="31"/>
      <c r="JK37" s="31"/>
      <c r="JL37" s="31"/>
      <c r="JM37" s="31"/>
      <c r="JN37" s="31"/>
      <c r="JO37" s="31"/>
      <c r="JP37" s="31"/>
      <c r="JQ37" s="31"/>
      <c r="JR37" s="31"/>
      <c r="JS37" s="31"/>
      <c r="JT37" s="31"/>
      <c r="JU37" s="31"/>
      <c r="JV37" s="31"/>
      <c r="JW37" s="31"/>
      <c r="JX37" s="31"/>
      <c r="JY37" s="31"/>
      <c r="JZ37" s="31"/>
      <c r="KA37" s="31"/>
      <c r="KB37" s="31"/>
      <c r="KC37" s="31"/>
      <c r="KD37" s="31"/>
      <c r="KE37" s="31"/>
      <c r="KF37" s="31"/>
      <c r="KG37" s="31"/>
      <c r="KH37" s="31"/>
      <c r="KI37" s="31"/>
      <c r="KJ37" s="31"/>
      <c r="KK37" s="31"/>
      <c r="KL37" s="31"/>
      <c r="KM37" s="31"/>
      <c r="KN37" s="31"/>
      <c r="KO37" s="31"/>
      <c r="KP37" s="31"/>
      <c r="KQ37" s="31"/>
      <c r="KR37" s="31"/>
      <c r="KS37" s="31"/>
      <c r="KT37" s="31"/>
      <c r="KU37" s="31"/>
      <c r="KV37" s="31"/>
      <c r="KW37" s="31"/>
      <c r="KX37" s="31"/>
      <c r="KY37" s="31"/>
      <c r="KZ37" s="31"/>
      <c r="LA37" s="31"/>
      <c r="LB37" s="31"/>
      <c r="LC37" s="31"/>
      <c r="LD37" s="31"/>
      <c r="LE37" s="31"/>
      <c r="LF37" s="31"/>
      <c r="LG37" s="31"/>
      <c r="LH37" s="31"/>
      <c r="LI37" s="31"/>
      <c r="LJ37" s="31"/>
      <c r="LK37" s="31"/>
      <c r="LL37" s="31"/>
      <c r="LM37" s="31"/>
      <c r="LN37" s="31"/>
      <c r="LO37" s="31"/>
      <c r="LP37" s="31"/>
      <c r="LQ37" s="31"/>
      <c r="LR37" s="31"/>
      <c r="LS37" s="31"/>
      <c r="LT37" s="31"/>
      <c r="LU37" s="31"/>
      <c r="LV37" s="31"/>
      <c r="LW37" s="31"/>
      <c r="LX37" s="31"/>
      <c r="LY37" s="31"/>
      <c r="LZ37" s="31"/>
      <c r="MA37" s="31"/>
      <c r="MB37" s="31"/>
      <c r="MC37" s="31"/>
      <c r="MD37" s="31"/>
      <c r="ME37" s="31"/>
      <c r="MF37" s="31"/>
      <c r="MG37" s="31"/>
      <c r="MH37" s="31"/>
      <c r="MI37" s="31"/>
      <c r="MJ37" s="31"/>
      <c r="MK37" s="31"/>
      <c r="ML37" s="31"/>
      <c r="MM37" s="31"/>
      <c r="MN37" s="31"/>
      <c r="MO37" s="31"/>
      <c r="MP37" s="31"/>
      <c r="MQ37" s="31"/>
      <c r="MR37" s="31"/>
      <c r="MS37" s="31"/>
      <c r="MT37" s="31"/>
      <c r="MU37" s="31"/>
      <c r="MV37" s="31"/>
      <c r="MW37" s="31"/>
      <c r="MX37" s="31"/>
      <c r="MY37" s="31"/>
      <c r="MZ37" s="31"/>
      <c r="NA37" s="31"/>
      <c r="NB37" s="31"/>
      <c r="NC37" s="31"/>
      <c r="ND37" s="31"/>
      <c r="NE37" s="31"/>
      <c r="NF37" s="31"/>
      <c r="NG37" s="31"/>
      <c r="NH37" s="31"/>
      <c r="NI37" s="31"/>
      <c r="NJ37" s="31"/>
      <c r="NK37" s="31"/>
      <c r="NL37" s="31"/>
      <c r="NM37" s="31"/>
      <c r="NN37" s="31"/>
      <c r="NO37" s="31"/>
      <c r="NP37" s="31"/>
      <c r="NQ37" s="31"/>
      <c r="NR37" s="31"/>
      <c r="NS37" s="31"/>
      <c r="NT37" s="31"/>
      <c r="NU37" s="31"/>
      <c r="NV37" s="31"/>
      <c r="NW37" s="31"/>
      <c r="NX37" s="31"/>
      <c r="NY37" s="31"/>
      <c r="NZ37" s="31"/>
      <c r="OA37" s="31"/>
      <c r="OB37" s="31"/>
      <c r="OC37" s="31"/>
      <c r="OD37" s="31"/>
      <c r="OE37" s="31"/>
      <c r="OF37" s="31"/>
      <c r="OG37" s="31"/>
      <c r="OH37" s="31"/>
      <c r="OI37" s="31"/>
      <c r="OJ37" s="31"/>
      <c r="OK37" s="31"/>
      <c r="OL37" s="31"/>
      <c r="OM37" s="31"/>
      <c r="ON37" s="31"/>
      <c r="OO37" s="31"/>
      <c r="OP37" s="31"/>
      <c r="OQ37" s="31"/>
      <c r="OR37" s="31"/>
      <c r="OS37" s="31"/>
      <c r="OT37" s="31"/>
      <c r="OU37" s="31"/>
      <c r="OV37" s="31"/>
      <c r="OW37" s="31"/>
      <c r="OX37" s="31"/>
      <c r="OY37" s="31"/>
      <c r="OZ37" s="31"/>
      <c r="PA37" s="31"/>
      <c r="PB37" s="31"/>
      <c r="PC37" s="31"/>
      <c r="PD37" s="31"/>
      <c r="PE37" s="31"/>
      <c r="PF37" s="31"/>
      <c r="PG37" s="31"/>
      <c r="PH37" s="31"/>
      <c r="PI37" s="31"/>
      <c r="PJ37" s="31"/>
      <c r="PK37" s="31"/>
      <c r="PL37" s="31"/>
      <c r="PM37" s="31"/>
      <c r="PN37" s="31"/>
      <c r="PO37" s="31"/>
      <c r="PP37" s="31"/>
      <c r="PQ37" s="31"/>
      <c r="PR37" s="31"/>
      <c r="PS37" s="31"/>
      <c r="PT37" s="31"/>
      <c r="PU37" s="31"/>
      <c r="PV37" s="31"/>
      <c r="PW37" s="31"/>
      <c r="PX37" s="31"/>
      <c r="PY37" s="31"/>
      <c r="PZ37" s="31"/>
      <c r="QA37" s="31"/>
      <c r="QB37" s="31"/>
      <c r="QC37" s="31"/>
      <c r="QD37" s="31"/>
      <c r="QE37" s="31"/>
      <c r="QF37" s="31"/>
      <c r="QG37" s="31"/>
      <c r="QH37" s="31"/>
      <c r="QI37" s="31"/>
      <c r="QJ37" s="31"/>
      <c r="QK37" s="31"/>
      <c r="QL37" s="31"/>
      <c r="QM37" s="31"/>
      <c r="QN37" s="31"/>
      <c r="QO37" s="31"/>
      <c r="QP37" s="31"/>
      <c r="QQ37" s="31"/>
      <c r="QR37" s="31"/>
      <c r="QS37" s="31"/>
      <c r="QT37" s="31"/>
      <c r="QU37" s="31"/>
      <c r="QV37" s="31"/>
      <c r="QW37" s="31"/>
      <c r="QX37" s="31"/>
      <c r="QY37" s="31"/>
      <c r="QZ37" s="31"/>
      <c r="RA37" s="31"/>
      <c r="RB37" s="31"/>
      <c r="RC37" s="31"/>
      <c r="RD37" s="31"/>
      <c r="RE37" s="31"/>
      <c r="RF37" s="31"/>
      <c r="RG37" s="31"/>
      <c r="RH37" s="31"/>
      <c r="RI37" s="31"/>
      <c r="RJ37" s="31"/>
      <c r="RK37" s="31"/>
      <c r="RL37" s="31"/>
      <c r="RM37" s="31"/>
      <c r="RN37" s="31"/>
      <c r="RO37" s="31"/>
      <c r="RP37" s="31"/>
      <c r="RQ37" s="31"/>
      <c r="RR37" s="31"/>
      <c r="RS37" s="31"/>
      <c r="RT37" s="31"/>
      <c r="RU37" s="31"/>
      <c r="RV37" s="31"/>
      <c r="RW37" s="31"/>
      <c r="RX37" s="31"/>
      <c r="RY37" s="31"/>
      <c r="RZ37" s="31"/>
      <c r="SA37" s="31"/>
      <c r="SB37" s="31"/>
      <c r="SC37" s="31"/>
      <c r="SD37" s="31"/>
      <c r="SE37" s="31"/>
      <c r="SF37" s="31"/>
      <c r="SG37" s="31"/>
      <c r="SH37" s="31"/>
      <c r="SI37" s="31"/>
      <c r="SJ37" s="82"/>
      <c r="SK37" s="6"/>
    </row>
    <row r="38" ht="14.25" customHeight="1">
      <c r="A38" s="80" t="s">
        <v>567</v>
      </c>
      <c r="B38" s="30" t="s">
        <v>598</v>
      </c>
      <c r="C38" s="81"/>
      <c r="D38" s="74">
        <f t="shared" si="4"/>
        <v>0</v>
      </c>
      <c r="E38" s="78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  <c r="CW38" s="31"/>
      <c r="CX38" s="31"/>
      <c r="CY38" s="31"/>
      <c r="CZ38" s="31"/>
      <c r="DA38" s="31"/>
      <c r="DB38" s="31"/>
      <c r="DC38" s="31"/>
      <c r="DD38" s="31"/>
      <c r="DE38" s="31"/>
      <c r="DF38" s="31"/>
      <c r="DG38" s="31"/>
      <c r="DH38" s="31"/>
      <c r="DI38" s="31"/>
      <c r="DJ38" s="31"/>
      <c r="DK38" s="31"/>
      <c r="DL38" s="31"/>
      <c r="DM38" s="31"/>
      <c r="DN38" s="31"/>
      <c r="DO38" s="31"/>
      <c r="DP38" s="31"/>
      <c r="DQ38" s="31"/>
      <c r="DR38" s="31"/>
      <c r="DS38" s="31"/>
      <c r="DT38" s="31"/>
      <c r="DU38" s="31"/>
      <c r="DV38" s="31"/>
      <c r="DW38" s="31"/>
      <c r="DX38" s="31"/>
      <c r="DY38" s="31"/>
      <c r="DZ38" s="31"/>
      <c r="EA38" s="31"/>
      <c r="EB38" s="31"/>
      <c r="EC38" s="31"/>
      <c r="ED38" s="31"/>
      <c r="EE38" s="31"/>
      <c r="EF38" s="31"/>
      <c r="EG38" s="31"/>
      <c r="EH38" s="31"/>
      <c r="EI38" s="31"/>
      <c r="EJ38" s="31"/>
      <c r="EK38" s="31"/>
      <c r="EL38" s="31"/>
      <c r="EM38" s="31"/>
      <c r="EN38" s="31"/>
      <c r="EO38" s="31"/>
      <c r="EP38" s="31"/>
      <c r="EQ38" s="31"/>
      <c r="ER38" s="31"/>
      <c r="ES38" s="31"/>
      <c r="ET38" s="31"/>
      <c r="EU38" s="31"/>
      <c r="EV38" s="31"/>
      <c r="EW38" s="31"/>
      <c r="EX38" s="31"/>
      <c r="EY38" s="31"/>
      <c r="EZ38" s="31"/>
      <c r="FA38" s="31"/>
      <c r="FB38" s="31"/>
      <c r="FC38" s="31"/>
      <c r="FD38" s="31"/>
      <c r="FE38" s="31"/>
      <c r="FF38" s="31"/>
      <c r="FG38" s="31"/>
      <c r="FH38" s="31"/>
      <c r="FI38" s="31"/>
      <c r="FJ38" s="31"/>
      <c r="FK38" s="31"/>
      <c r="FL38" s="31"/>
      <c r="FM38" s="31"/>
      <c r="FN38" s="31"/>
      <c r="FO38" s="31"/>
      <c r="FP38" s="31"/>
      <c r="FQ38" s="31"/>
      <c r="FR38" s="31"/>
      <c r="FS38" s="31"/>
      <c r="FT38" s="31"/>
      <c r="FU38" s="31"/>
      <c r="FV38" s="31"/>
      <c r="FW38" s="31"/>
      <c r="FX38" s="31"/>
      <c r="FY38" s="31"/>
      <c r="FZ38" s="31"/>
      <c r="GA38" s="31"/>
      <c r="GB38" s="31"/>
      <c r="GC38" s="31"/>
      <c r="GD38" s="31"/>
      <c r="GE38" s="31"/>
      <c r="GF38" s="31"/>
      <c r="GG38" s="31"/>
      <c r="GH38" s="31"/>
      <c r="GI38" s="31"/>
      <c r="GJ38" s="31"/>
      <c r="GK38" s="31"/>
      <c r="GL38" s="31"/>
      <c r="GM38" s="31"/>
      <c r="GN38" s="31"/>
      <c r="GO38" s="31"/>
      <c r="GP38" s="31"/>
      <c r="GQ38" s="31"/>
      <c r="GR38" s="31"/>
      <c r="GS38" s="31"/>
      <c r="GT38" s="31"/>
      <c r="GU38" s="31"/>
      <c r="GV38" s="31"/>
      <c r="GW38" s="31"/>
      <c r="GX38" s="31"/>
      <c r="GY38" s="31"/>
      <c r="GZ38" s="31"/>
      <c r="HA38" s="31"/>
      <c r="HB38" s="31"/>
      <c r="HC38" s="31"/>
      <c r="HD38" s="31"/>
      <c r="HE38" s="31"/>
      <c r="HF38" s="31"/>
      <c r="HG38" s="31"/>
      <c r="HH38" s="31"/>
      <c r="HI38" s="31"/>
      <c r="HJ38" s="31"/>
      <c r="HK38" s="31"/>
      <c r="HL38" s="31"/>
      <c r="HM38" s="31"/>
      <c r="HN38" s="31"/>
      <c r="HO38" s="31"/>
      <c r="HP38" s="31"/>
      <c r="HQ38" s="31"/>
      <c r="HR38" s="31"/>
      <c r="HS38" s="31"/>
      <c r="HT38" s="31"/>
      <c r="HU38" s="31"/>
      <c r="HV38" s="31"/>
      <c r="HW38" s="31"/>
      <c r="HX38" s="31"/>
      <c r="HY38" s="31"/>
      <c r="HZ38" s="31"/>
      <c r="IA38" s="31"/>
      <c r="IB38" s="31"/>
      <c r="IC38" s="31"/>
      <c r="ID38" s="31"/>
      <c r="IE38" s="31"/>
      <c r="IF38" s="31"/>
      <c r="IG38" s="31"/>
      <c r="IH38" s="31"/>
      <c r="II38" s="31"/>
      <c r="IJ38" s="31"/>
      <c r="IK38" s="31"/>
      <c r="IL38" s="31"/>
      <c r="IM38" s="31"/>
      <c r="IN38" s="31"/>
      <c r="IO38" s="31"/>
      <c r="IP38" s="31"/>
      <c r="IQ38" s="31"/>
      <c r="IR38" s="31"/>
      <c r="IS38" s="31"/>
      <c r="IT38" s="31"/>
      <c r="IU38" s="31"/>
      <c r="IV38" s="31"/>
      <c r="IW38" s="31"/>
      <c r="IX38" s="31"/>
      <c r="IY38" s="31"/>
      <c r="IZ38" s="31"/>
      <c r="JA38" s="31"/>
      <c r="JB38" s="31"/>
      <c r="JC38" s="31"/>
      <c r="JD38" s="31"/>
      <c r="JE38" s="31"/>
      <c r="JF38" s="31"/>
      <c r="JG38" s="31"/>
      <c r="JH38" s="31"/>
      <c r="JI38" s="31"/>
      <c r="JJ38" s="31"/>
      <c r="JK38" s="31"/>
      <c r="JL38" s="31"/>
      <c r="JM38" s="31"/>
      <c r="JN38" s="31"/>
      <c r="JO38" s="31"/>
      <c r="JP38" s="31"/>
      <c r="JQ38" s="31"/>
      <c r="JR38" s="31"/>
      <c r="JS38" s="31"/>
      <c r="JT38" s="31"/>
      <c r="JU38" s="31"/>
      <c r="JV38" s="31"/>
      <c r="JW38" s="31"/>
      <c r="JX38" s="31"/>
      <c r="JY38" s="31"/>
      <c r="JZ38" s="31"/>
      <c r="KA38" s="31"/>
      <c r="KB38" s="31"/>
      <c r="KC38" s="31"/>
      <c r="KD38" s="31"/>
      <c r="KE38" s="31"/>
      <c r="KF38" s="31"/>
      <c r="KG38" s="31"/>
      <c r="KH38" s="31"/>
      <c r="KI38" s="31"/>
      <c r="KJ38" s="31"/>
      <c r="KK38" s="31"/>
      <c r="KL38" s="31"/>
      <c r="KM38" s="31"/>
      <c r="KN38" s="31"/>
      <c r="KO38" s="31"/>
      <c r="KP38" s="31"/>
      <c r="KQ38" s="31"/>
      <c r="KR38" s="31"/>
      <c r="KS38" s="31"/>
      <c r="KT38" s="31"/>
      <c r="KU38" s="31"/>
      <c r="KV38" s="31"/>
      <c r="KW38" s="31"/>
      <c r="KX38" s="31"/>
      <c r="KY38" s="31"/>
      <c r="KZ38" s="31"/>
      <c r="LA38" s="31"/>
      <c r="LB38" s="31"/>
      <c r="LC38" s="31"/>
      <c r="LD38" s="31"/>
      <c r="LE38" s="31"/>
      <c r="LF38" s="31"/>
      <c r="LG38" s="31"/>
      <c r="LH38" s="31"/>
      <c r="LI38" s="31"/>
      <c r="LJ38" s="31"/>
      <c r="LK38" s="31"/>
      <c r="LL38" s="31"/>
      <c r="LM38" s="31"/>
      <c r="LN38" s="31"/>
      <c r="LO38" s="31"/>
      <c r="LP38" s="31"/>
      <c r="LQ38" s="31"/>
      <c r="LR38" s="31"/>
      <c r="LS38" s="31"/>
      <c r="LT38" s="31"/>
      <c r="LU38" s="31"/>
      <c r="LV38" s="31"/>
      <c r="LW38" s="31"/>
      <c r="LX38" s="31"/>
      <c r="LY38" s="31"/>
      <c r="LZ38" s="31"/>
      <c r="MA38" s="31"/>
      <c r="MB38" s="31"/>
      <c r="MC38" s="31"/>
      <c r="MD38" s="31"/>
      <c r="ME38" s="31"/>
      <c r="MF38" s="31"/>
      <c r="MG38" s="31"/>
      <c r="MH38" s="31"/>
      <c r="MI38" s="31"/>
      <c r="MJ38" s="31"/>
      <c r="MK38" s="31"/>
      <c r="ML38" s="31"/>
      <c r="MM38" s="31"/>
      <c r="MN38" s="31"/>
      <c r="MO38" s="31"/>
      <c r="MP38" s="31"/>
      <c r="MQ38" s="31"/>
      <c r="MR38" s="31"/>
      <c r="MS38" s="31"/>
      <c r="MT38" s="31"/>
      <c r="MU38" s="31"/>
      <c r="MV38" s="31"/>
      <c r="MW38" s="31"/>
      <c r="MX38" s="31"/>
      <c r="MY38" s="31"/>
      <c r="MZ38" s="31"/>
      <c r="NA38" s="31"/>
      <c r="NB38" s="31"/>
      <c r="NC38" s="31"/>
      <c r="ND38" s="31"/>
      <c r="NE38" s="31"/>
      <c r="NF38" s="31"/>
      <c r="NG38" s="31"/>
      <c r="NH38" s="31"/>
      <c r="NI38" s="31"/>
      <c r="NJ38" s="31"/>
      <c r="NK38" s="31"/>
      <c r="NL38" s="31"/>
      <c r="NM38" s="31"/>
      <c r="NN38" s="31"/>
      <c r="NO38" s="31"/>
      <c r="NP38" s="31"/>
      <c r="NQ38" s="31"/>
      <c r="NR38" s="31"/>
      <c r="NS38" s="31"/>
      <c r="NT38" s="31"/>
      <c r="NU38" s="31"/>
      <c r="NV38" s="31"/>
      <c r="NW38" s="31"/>
      <c r="NX38" s="31"/>
      <c r="NY38" s="31"/>
      <c r="NZ38" s="31"/>
      <c r="OA38" s="31"/>
      <c r="OB38" s="31"/>
      <c r="OC38" s="31"/>
      <c r="OD38" s="31"/>
      <c r="OE38" s="31"/>
      <c r="OF38" s="31"/>
      <c r="OG38" s="31"/>
      <c r="OH38" s="31"/>
      <c r="OI38" s="31"/>
      <c r="OJ38" s="31"/>
      <c r="OK38" s="31"/>
      <c r="OL38" s="31"/>
      <c r="OM38" s="31"/>
      <c r="ON38" s="31"/>
      <c r="OO38" s="31"/>
      <c r="OP38" s="31"/>
      <c r="OQ38" s="31"/>
      <c r="OR38" s="31"/>
      <c r="OS38" s="31"/>
      <c r="OT38" s="31"/>
      <c r="OU38" s="31"/>
      <c r="OV38" s="31"/>
      <c r="OW38" s="31"/>
      <c r="OX38" s="31"/>
      <c r="OY38" s="31"/>
      <c r="OZ38" s="31"/>
      <c r="PA38" s="31"/>
      <c r="PB38" s="31"/>
      <c r="PC38" s="31"/>
      <c r="PD38" s="31"/>
      <c r="PE38" s="31"/>
      <c r="PF38" s="31"/>
      <c r="PG38" s="31"/>
      <c r="PH38" s="31"/>
      <c r="PI38" s="31"/>
      <c r="PJ38" s="31"/>
      <c r="PK38" s="31"/>
      <c r="PL38" s="31"/>
      <c r="PM38" s="31"/>
      <c r="PN38" s="31"/>
      <c r="PO38" s="31"/>
      <c r="PP38" s="31"/>
      <c r="PQ38" s="31"/>
      <c r="PR38" s="31"/>
      <c r="PS38" s="31"/>
      <c r="PT38" s="31"/>
      <c r="PU38" s="31"/>
      <c r="PV38" s="31"/>
      <c r="PW38" s="31"/>
      <c r="PX38" s="31"/>
      <c r="PY38" s="31"/>
      <c r="PZ38" s="31"/>
      <c r="QA38" s="31"/>
      <c r="QB38" s="31"/>
      <c r="QC38" s="31"/>
      <c r="QD38" s="31"/>
      <c r="QE38" s="31"/>
      <c r="QF38" s="31"/>
      <c r="QG38" s="31"/>
      <c r="QH38" s="31"/>
      <c r="QI38" s="31"/>
      <c r="QJ38" s="31"/>
      <c r="QK38" s="31"/>
      <c r="QL38" s="31"/>
      <c r="QM38" s="31"/>
      <c r="QN38" s="31"/>
      <c r="QO38" s="31"/>
      <c r="QP38" s="31"/>
      <c r="QQ38" s="31"/>
      <c r="QR38" s="31"/>
      <c r="QS38" s="31"/>
      <c r="QT38" s="31"/>
      <c r="QU38" s="31"/>
      <c r="QV38" s="31"/>
      <c r="QW38" s="31"/>
      <c r="QX38" s="31"/>
      <c r="QY38" s="31"/>
      <c r="QZ38" s="31"/>
      <c r="RA38" s="31"/>
      <c r="RB38" s="31"/>
      <c r="RC38" s="31"/>
      <c r="RD38" s="31"/>
      <c r="RE38" s="31"/>
      <c r="RF38" s="31"/>
      <c r="RG38" s="31"/>
      <c r="RH38" s="31"/>
      <c r="RI38" s="31"/>
      <c r="RJ38" s="31"/>
      <c r="RK38" s="31"/>
      <c r="RL38" s="31"/>
      <c r="RM38" s="31"/>
      <c r="RN38" s="31"/>
      <c r="RO38" s="31"/>
      <c r="RP38" s="31"/>
      <c r="RQ38" s="31"/>
      <c r="RR38" s="31"/>
      <c r="RS38" s="31"/>
      <c r="RT38" s="31"/>
      <c r="RU38" s="31"/>
      <c r="RV38" s="31"/>
      <c r="RW38" s="31"/>
      <c r="RX38" s="31"/>
      <c r="RY38" s="31"/>
      <c r="RZ38" s="31"/>
      <c r="SA38" s="31"/>
      <c r="SB38" s="31"/>
      <c r="SC38" s="31"/>
      <c r="SD38" s="31"/>
      <c r="SE38" s="31"/>
      <c r="SF38" s="31"/>
      <c r="SG38" s="31"/>
      <c r="SH38" s="31"/>
      <c r="SI38" s="31"/>
      <c r="SJ38" s="82"/>
      <c r="SK38" s="6"/>
    </row>
    <row r="39" ht="14.25" customHeight="1">
      <c r="A39" s="80" t="s">
        <v>567</v>
      </c>
      <c r="B39" s="30" t="s">
        <v>599</v>
      </c>
      <c r="C39" s="81"/>
      <c r="D39" s="74">
        <f t="shared" si="4"/>
        <v>12656</v>
      </c>
      <c r="E39" s="78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83"/>
      <c r="Q39" s="31"/>
      <c r="R39" s="31"/>
      <c r="S39" s="83">
        <v>554.0</v>
      </c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83">
        <v>99.5</v>
      </c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83">
        <v>5091.3</v>
      </c>
      <c r="AY39" s="83">
        <v>5878.0</v>
      </c>
      <c r="AZ39" s="83">
        <v>1033.2</v>
      </c>
      <c r="BA39" s="31"/>
      <c r="BB39" s="31"/>
      <c r="BC39" s="83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83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  <c r="CW39" s="31"/>
      <c r="CX39" s="31"/>
      <c r="CY39" s="31"/>
      <c r="CZ39" s="31"/>
      <c r="DA39" s="31"/>
      <c r="DB39" s="31"/>
      <c r="DC39" s="31"/>
      <c r="DD39" s="31"/>
      <c r="DE39" s="31"/>
      <c r="DF39" s="31"/>
      <c r="DG39" s="31"/>
      <c r="DH39" s="31"/>
      <c r="DI39" s="31"/>
      <c r="DJ39" s="31"/>
      <c r="DK39" s="31"/>
      <c r="DL39" s="31"/>
      <c r="DM39" s="31"/>
      <c r="DN39" s="31"/>
      <c r="DO39" s="31"/>
      <c r="DP39" s="31"/>
      <c r="DQ39" s="31"/>
      <c r="DR39" s="31"/>
      <c r="DS39" s="31"/>
      <c r="DT39" s="31"/>
      <c r="DU39" s="31"/>
      <c r="DV39" s="31"/>
      <c r="DW39" s="31"/>
      <c r="DX39" s="31"/>
      <c r="DY39" s="31"/>
      <c r="DZ39" s="31"/>
      <c r="EA39" s="31"/>
      <c r="EB39" s="31"/>
      <c r="EC39" s="31"/>
      <c r="ED39" s="31"/>
      <c r="EE39" s="31"/>
      <c r="EF39" s="31"/>
      <c r="EG39" s="31"/>
      <c r="EH39" s="31"/>
      <c r="EI39" s="31"/>
      <c r="EJ39" s="31"/>
      <c r="EK39" s="31"/>
      <c r="EL39" s="31"/>
      <c r="EM39" s="31"/>
      <c r="EN39" s="31"/>
      <c r="EO39" s="31"/>
      <c r="EP39" s="31"/>
      <c r="EQ39" s="31"/>
      <c r="ER39" s="31"/>
      <c r="ES39" s="31"/>
      <c r="ET39" s="31"/>
      <c r="EU39" s="31"/>
      <c r="EV39" s="31"/>
      <c r="EW39" s="31"/>
      <c r="EX39" s="31"/>
      <c r="EY39" s="31"/>
      <c r="EZ39" s="31"/>
      <c r="FA39" s="31"/>
      <c r="FB39" s="31"/>
      <c r="FC39" s="31"/>
      <c r="FD39" s="31"/>
      <c r="FE39" s="31"/>
      <c r="FF39" s="31"/>
      <c r="FG39" s="31"/>
      <c r="FH39" s="31"/>
      <c r="FI39" s="31"/>
      <c r="FJ39" s="31"/>
      <c r="FK39" s="31"/>
      <c r="FL39" s="31"/>
      <c r="FM39" s="31"/>
      <c r="FN39" s="31"/>
      <c r="FO39" s="31"/>
      <c r="FP39" s="31"/>
      <c r="FQ39" s="31"/>
      <c r="FR39" s="31"/>
      <c r="FS39" s="31"/>
      <c r="FT39" s="31"/>
      <c r="FU39" s="31"/>
      <c r="FV39" s="31"/>
      <c r="FW39" s="31"/>
      <c r="FX39" s="31"/>
      <c r="FY39" s="31"/>
      <c r="FZ39" s="31"/>
      <c r="GA39" s="31"/>
      <c r="GB39" s="31"/>
      <c r="GC39" s="31"/>
      <c r="GD39" s="31"/>
      <c r="GE39" s="31"/>
      <c r="GF39" s="31"/>
      <c r="GG39" s="31"/>
      <c r="GH39" s="31"/>
      <c r="GI39" s="31"/>
      <c r="GJ39" s="31"/>
      <c r="GK39" s="31"/>
      <c r="GL39" s="31"/>
      <c r="GM39" s="31"/>
      <c r="GN39" s="31"/>
      <c r="GO39" s="31"/>
      <c r="GP39" s="31"/>
      <c r="GQ39" s="31"/>
      <c r="GR39" s="31"/>
      <c r="GS39" s="31"/>
      <c r="GT39" s="31"/>
      <c r="GU39" s="31"/>
      <c r="GV39" s="31"/>
      <c r="GW39" s="31"/>
      <c r="GX39" s="31"/>
      <c r="GY39" s="31"/>
      <c r="GZ39" s="31"/>
      <c r="HA39" s="31"/>
      <c r="HB39" s="31"/>
      <c r="HC39" s="31"/>
      <c r="HD39" s="31"/>
      <c r="HE39" s="31"/>
      <c r="HF39" s="31"/>
      <c r="HG39" s="31"/>
      <c r="HH39" s="31"/>
      <c r="HI39" s="31"/>
      <c r="HJ39" s="31"/>
      <c r="HK39" s="31"/>
      <c r="HL39" s="31"/>
      <c r="HM39" s="31"/>
      <c r="HN39" s="31"/>
      <c r="HO39" s="31"/>
      <c r="HP39" s="31"/>
      <c r="HQ39" s="31"/>
      <c r="HR39" s="31"/>
      <c r="HS39" s="31"/>
      <c r="HT39" s="31"/>
      <c r="HU39" s="31"/>
      <c r="HV39" s="31"/>
      <c r="HW39" s="31"/>
      <c r="HX39" s="31"/>
      <c r="HY39" s="31"/>
      <c r="HZ39" s="31"/>
      <c r="IA39" s="31"/>
      <c r="IB39" s="31"/>
      <c r="IC39" s="31"/>
      <c r="ID39" s="31"/>
      <c r="IE39" s="31"/>
      <c r="IF39" s="31"/>
      <c r="IG39" s="31"/>
      <c r="IH39" s="31"/>
      <c r="II39" s="31"/>
      <c r="IJ39" s="31"/>
      <c r="IK39" s="31"/>
      <c r="IL39" s="31"/>
      <c r="IM39" s="31"/>
      <c r="IN39" s="31"/>
      <c r="IO39" s="31"/>
      <c r="IP39" s="31"/>
      <c r="IQ39" s="31"/>
      <c r="IR39" s="31"/>
      <c r="IS39" s="31"/>
      <c r="IT39" s="31"/>
      <c r="IU39" s="31"/>
      <c r="IV39" s="31"/>
      <c r="IW39" s="31"/>
      <c r="IX39" s="31"/>
      <c r="IY39" s="31"/>
      <c r="IZ39" s="31"/>
      <c r="JA39" s="31"/>
      <c r="JB39" s="31"/>
      <c r="JC39" s="31"/>
      <c r="JD39" s="31"/>
      <c r="JE39" s="31"/>
      <c r="JF39" s="31"/>
      <c r="JG39" s="31"/>
      <c r="JH39" s="31"/>
      <c r="JI39" s="31"/>
      <c r="JJ39" s="31"/>
      <c r="JK39" s="31"/>
      <c r="JL39" s="31"/>
      <c r="JM39" s="31"/>
      <c r="JN39" s="31"/>
      <c r="JO39" s="31"/>
      <c r="JP39" s="31"/>
      <c r="JQ39" s="31"/>
      <c r="JR39" s="31"/>
      <c r="JS39" s="31"/>
      <c r="JT39" s="31"/>
      <c r="JU39" s="31"/>
      <c r="JV39" s="31"/>
      <c r="JW39" s="31"/>
      <c r="JX39" s="31"/>
      <c r="JY39" s="31"/>
      <c r="JZ39" s="31"/>
      <c r="KA39" s="31"/>
      <c r="KB39" s="31"/>
      <c r="KC39" s="31"/>
      <c r="KD39" s="31"/>
      <c r="KE39" s="31"/>
      <c r="KF39" s="31"/>
      <c r="KG39" s="31"/>
      <c r="KH39" s="31"/>
      <c r="KI39" s="31"/>
      <c r="KJ39" s="31"/>
      <c r="KK39" s="31"/>
      <c r="KL39" s="31"/>
      <c r="KM39" s="31"/>
      <c r="KN39" s="31"/>
      <c r="KO39" s="31"/>
      <c r="KP39" s="31"/>
      <c r="KQ39" s="31"/>
      <c r="KR39" s="31"/>
      <c r="KS39" s="31"/>
      <c r="KT39" s="31"/>
      <c r="KU39" s="31"/>
      <c r="KV39" s="31"/>
      <c r="KW39" s="31"/>
      <c r="KX39" s="31"/>
      <c r="KY39" s="31"/>
      <c r="KZ39" s="31"/>
      <c r="LA39" s="31"/>
      <c r="LB39" s="31"/>
      <c r="LC39" s="31"/>
      <c r="LD39" s="31"/>
      <c r="LE39" s="31"/>
      <c r="LF39" s="31"/>
      <c r="LG39" s="31"/>
      <c r="LH39" s="31"/>
      <c r="LI39" s="31"/>
      <c r="LJ39" s="31"/>
      <c r="LK39" s="31"/>
      <c r="LL39" s="31"/>
      <c r="LM39" s="31"/>
      <c r="LN39" s="31"/>
      <c r="LO39" s="31"/>
      <c r="LP39" s="31"/>
      <c r="LQ39" s="31"/>
      <c r="LR39" s="31"/>
      <c r="LS39" s="31"/>
      <c r="LT39" s="31"/>
      <c r="LU39" s="31"/>
      <c r="LV39" s="31"/>
      <c r="LW39" s="31"/>
      <c r="LX39" s="31"/>
      <c r="LY39" s="31"/>
      <c r="LZ39" s="31"/>
      <c r="MA39" s="31"/>
      <c r="MB39" s="31"/>
      <c r="MC39" s="31"/>
      <c r="MD39" s="31"/>
      <c r="ME39" s="31"/>
      <c r="MF39" s="31"/>
      <c r="MG39" s="31"/>
      <c r="MH39" s="31"/>
      <c r="MI39" s="31"/>
      <c r="MJ39" s="31"/>
      <c r="MK39" s="31"/>
      <c r="ML39" s="31"/>
      <c r="MM39" s="31"/>
      <c r="MN39" s="31"/>
      <c r="MO39" s="31"/>
      <c r="MP39" s="31"/>
      <c r="MQ39" s="31"/>
      <c r="MR39" s="31"/>
      <c r="MS39" s="31"/>
      <c r="MT39" s="31"/>
      <c r="MU39" s="31"/>
      <c r="MV39" s="31"/>
      <c r="MW39" s="31"/>
      <c r="MX39" s="31"/>
      <c r="MY39" s="31"/>
      <c r="MZ39" s="31"/>
      <c r="NA39" s="31"/>
      <c r="NB39" s="31"/>
      <c r="NC39" s="31"/>
      <c r="ND39" s="31"/>
      <c r="NE39" s="31"/>
      <c r="NF39" s="31"/>
      <c r="NG39" s="31"/>
      <c r="NH39" s="31"/>
      <c r="NI39" s="31"/>
      <c r="NJ39" s="31"/>
      <c r="NK39" s="31"/>
      <c r="NL39" s="31"/>
      <c r="NM39" s="31"/>
      <c r="NN39" s="31"/>
      <c r="NO39" s="31"/>
      <c r="NP39" s="31"/>
      <c r="NQ39" s="31"/>
      <c r="NR39" s="31"/>
      <c r="NS39" s="31"/>
      <c r="NT39" s="31"/>
      <c r="NU39" s="31"/>
      <c r="NV39" s="31"/>
      <c r="NW39" s="31"/>
      <c r="NX39" s="31"/>
      <c r="NY39" s="31"/>
      <c r="NZ39" s="31"/>
      <c r="OA39" s="31"/>
      <c r="OB39" s="31"/>
      <c r="OC39" s="31"/>
      <c r="OD39" s="31"/>
      <c r="OE39" s="31"/>
      <c r="OF39" s="31"/>
      <c r="OG39" s="31"/>
      <c r="OH39" s="31"/>
      <c r="OI39" s="31"/>
      <c r="OJ39" s="31"/>
      <c r="OK39" s="31"/>
      <c r="OL39" s="31"/>
      <c r="OM39" s="31"/>
      <c r="ON39" s="31"/>
      <c r="OO39" s="31"/>
      <c r="OP39" s="31"/>
      <c r="OQ39" s="31"/>
      <c r="OR39" s="31"/>
      <c r="OS39" s="31"/>
      <c r="OT39" s="31"/>
      <c r="OU39" s="31"/>
      <c r="OV39" s="31"/>
      <c r="OW39" s="31"/>
      <c r="OX39" s="31"/>
      <c r="OY39" s="31"/>
      <c r="OZ39" s="31"/>
      <c r="PA39" s="31"/>
      <c r="PB39" s="31"/>
      <c r="PC39" s="31"/>
      <c r="PD39" s="31"/>
      <c r="PE39" s="31"/>
      <c r="PF39" s="31"/>
      <c r="PG39" s="31"/>
      <c r="PH39" s="31"/>
      <c r="PI39" s="31"/>
      <c r="PJ39" s="31"/>
      <c r="PK39" s="31"/>
      <c r="PL39" s="31"/>
      <c r="PM39" s="31"/>
      <c r="PN39" s="31"/>
      <c r="PO39" s="31"/>
      <c r="PP39" s="31"/>
      <c r="PQ39" s="31"/>
      <c r="PR39" s="31"/>
      <c r="PS39" s="31"/>
      <c r="PT39" s="31"/>
      <c r="PU39" s="31"/>
      <c r="PV39" s="31"/>
      <c r="PW39" s="31"/>
      <c r="PX39" s="31"/>
      <c r="PY39" s="31"/>
      <c r="PZ39" s="31"/>
      <c r="QA39" s="31"/>
      <c r="QB39" s="31"/>
      <c r="QC39" s="31"/>
      <c r="QD39" s="31"/>
      <c r="QE39" s="31"/>
      <c r="QF39" s="31"/>
      <c r="QG39" s="31"/>
      <c r="QH39" s="31"/>
      <c r="QI39" s="31"/>
      <c r="QJ39" s="31"/>
      <c r="QK39" s="31"/>
      <c r="QL39" s="31"/>
      <c r="QM39" s="31"/>
      <c r="QN39" s="31"/>
      <c r="QO39" s="31"/>
      <c r="QP39" s="31"/>
      <c r="QQ39" s="31"/>
      <c r="QR39" s="31"/>
      <c r="QS39" s="31"/>
      <c r="QT39" s="31"/>
      <c r="QU39" s="31"/>
      <c r="QV39" s="31"/>
      <c r="QW39" s="31"/>
      <c r="QX39" s="31"/>
      <c r="QY39" s="31"/>
      <c r="QZ39" s="31"/>
      <c r="RA39" s="31"/>
      <c r="RB39" s="31"/>
      <c r="RC39" s="31"/>
      <c r="RD39" s="31"/>
      <c r="RE39" s="31"/>
      <c r="RF39" s="31"/>
      <c r="RG39" s="31"/>
      <c r="RH39" s="31"/>
      <c r="RI39" s="31"/>
      <c r="RJ39" s="31"/>
      <c r="RK39" s="31"/>
      <c r="RL39" s="31"/>
      <c r="RM39" s="31"/>
      <c r="RN39" s="31"/>
      <c r="RO39" s="31"/>
      <c r="RP39" s="31"/>
      <c r="RQ39" s="31"/>
      <c r="RR39" s="31"/>
      <c r="RS39" s="31"/>
      <c r="RT39" s="31"/>
      <c r="RU39" s="31"/>
      <c r="RV39" s="31"/>
      <c r="RW39" s="31"/>
      <c r="RX39" s="31"/>
      <c r="RY39" s="31"/>
      <c r="RZ39" s="31"/>
      <c r="SA39" s="31"/>
      <c r="SB39" s="31"/>
      <c r="SC39" s="31"/>
      <c r="SD39" s="78"/>
      <c r="SE39" s="31"/>
      <c r="SF39" s="31"/>
      <c r="SG39" s="31"/>
      <c r="SH39" s="31"/>
      <c r="SI39" s="31"/>
      <c r="SJ39" s="82"/>
      <c r="SK39" s="6"/>
    </row>
    <row r="40" ht="14.25" customHeight="1">
      <c r="A40" s="80" t="s">
        <v>567</v>
      </c>
      <c r="B40" s="30" t="s">
        <v>600</v>
      </c>
      <c r="C40" s="81"/>
      <c r="D40" s="74">
        <f t="shared" si="4"/>
        <v>0</v>
      </c>
      <c r="E40" s="78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83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  <c r="CW40" s="31"/>
      <c r="CX40" s="31"/>
      <c r="CY40" s="31"/>
      <c r="CZ40" s="31"/>
      <c r="DA40" s="31"/>
      <c r="DB40" s="31"/>
      <c r="DC40" s="31"/>
      <c r="DD40" s="31"/>
      <c r="DE40" s="31"/>
      <c r="DF40" s="31"/>
      <c r="DG40" s="31"/>
      <c r="DH40" s="31"/>
      <c r="DI40" s="31"/>
      <c r="DJ40" s="31"/>
      <c r="DK40" s="31"/>
      <c r="DL40" s="31"/>
      <c r="DM40" s="31"/>
      <c r="DN40" s="31"/>
      <c r="DO40" s="31"/>
      <c r="DP40" s="31"/>
      <c r="DQ40" s="31"/>
      <c r="DR40" s="31"/>
      <c r="DS40" s="31"/>
      <c r="DT40" s="31"/>
      <c r="DU40" s="31"/>
      <c r="DV40" s="31"/>
      <c r="DW40" s="31"/>
      <c r="DX40" s="31"/>
      <c r="DY40" s="31"/>
      <c r="DZ40" s="31"/>
      <c r="EA40" s="31"/>
      <c r="EB40" s="31"/>
      <c r="EC40" s="31"/>
      <c r="ED40" s="31"/>
      <c r="EE40" s="31"/>
      <c r="EF40" s="31"/>
      <c r="EG40" s="31"/>
      <c r="EH40" s="31"/>
      <c r="EI40" s="31"/>
      <c r="EJ40" s="31"/>
      <c r="EK40" s="31"/>
      <c r="EL40" s="31"/>
      <c r="EM40" s="31"/>
      <c r="EN40" s="31"/>
      <c r="EO40" s="31"/>
      <c r="EP40" s="31"/>
      <c r="EQ40" s="31"/>
      <c r="ER40" s="31"/>
      <c r="ES40" s="31"/>
      <c r="ET40" s="31"/>
      <c r="EU40" s="31"/>
      <c r="EV40" s="31"/>
      <c r="EW40" s="31"/>
      <c r="EX40" s="31"/>
      <c r="EY40" s="31"/>
      <c r="EZ40" s="31"/>
      <c r="FA40" s="31"/>
      <c r="FB40" s="31"/>
      <c r="FC40" s="31"/>
      <c r="FD40" s="31"/>
      <c r="FE40" s="31"/>
      <c r="FF40" s="31"/>
      <c r="FG40" s="31"/>
      <c r="FH40" s="31"/>
      <c r="FI40" s="31"/>
      <c r="FJ40" s="31"/>
      <c r="FK40" s="31"/>
      <c r="FL40" s="31"/>
      <c r="FM40" s="31"/>
      <c r="FN40" s="31"/>
      <c r="FO40" s="31"/>
      <c r="FP40" s="31"/>
      <c r="FQ40" s="31"/>
      <c r="FR40" s="31"/>
      <c r="FS40" s="31"/>
      <c r="FT40" s="31"/>
      <c r="FU40" s="31"/>
      <c r="FV40" s="31"/>
      <c r="FW40" s="31"/>
      <c r="FX40" s="31"/>
      <c r="FY40" s="31"/>
      <c r="FZ40" s="31"/>
      <c r="GA40" s="31"/>
      <c r="GB40" s="31"/>
      <c r="GC40" s="31"/>
      <c r="GD40" s="31"/>
      <c r="GE40" s="31"/>
      <c r="GF40" s="31"/>
      <c r="GG40" s="31"/>
      <c r="GH40" s="31"/>
      <c r="GI40" s="31"/>
      <c r="GJ40" s="31"/>
      <c r="GK40" s="31"/>
      <c r="GL40" s="31"/>
      <c r="GM40" s="31"/>
      <c r="GN40" s="31"/>
      <c r="GO40" s="31"/>
      <c r="GP40" s="31"/>
      <c r="GQ40" s="31"/>
      <c r="GR40" s="31"/>
      <c r="GS40" s="31"/>
      <c r="GT40" s="31"/>
      <c r="GU40" s="31"/>
      <c r="GV40" s="31"/>
      <c r="GW40" s="31"/>
      <c r="GX40" s="31"/>
      <c r="GY40" s="31"/>
      <c r="GZ40" s="31"/>
      <c r="HA40" s="31"/>
      <c r="HB40" s="31"/>
      <c r="HC40" s="31"/>
      <c r="HD40" s="31"/>
      <c r="HE40" s="31"/>
      <c r="HF40" s="31"/>
      <c r="HG40" s="31"/>
      <c r="HH40" s="31"/>
      <c r="HI40" s="31"/>
      <c r="HJ40" s="31"/>
      <c r="HK40" s="31"/>
      <c r="HL40" s="31"/>
      <c r="HM40" s="31"/>
      <c r="HN40" s="31"/>
      <c r="HO40" s="31"/>
      <c r="HP40" s="31"/>
      <c r="HQ40" s="31"/>
      <c r="HR40" s="31"/>
      <c r="HS40" s="31"/>
      <c r="HT40" s="31"/>
      <c r="HU40" s="31"/>
      <c r="HV40" s="31"/>
      <c r="HW40" s="31"/>
      <c r="HX40" s="31"/>
      <c r="HY40" s="31"/>
      <c r="HZ40" s="31"/>
      <c r="IA40" s="31"/>
      <c r="IB40" s="31"/>
      <c r="IC40" s="31"/>
      <c r="ID40" s="31"/>
      <c r="IE40" s="31"/>
      <c r="IF40" s="31"/>
      <c r="IG40" s="31"/>
      <c r="IH40" s="31"/>
      <c r="II40" s="31"/>
      <c r="IJ40" s="31"/>
      <c r="IK40" s="31"/>
      <c r="IL40" s="31"/>
      <c r="IM40" s="31"/>
      <c r="IN40" s="31"/>
      <c r="IO40" s="31"/>
      <c r="IP40" s="31"/>
      <c r="IQ40" s="31"/>
      <c r="IR40" s="31"/>
      <c r="IS40" s="31"/>
      <c r="IT40" s="31"/>
      <c r="IU40" s="31"/>
      <c r="IV40" s="31"/>
      <c r="IW40" s="31"/>
      <c r="IX40" s="31"/>
      <c r="IY40" s="31"/>
      <c r="IZ40" s="31"/>
      <c r="JA40" s="31"/>
      <c r="JB40" s="31"/>
      <c r="JC40" s="31"/>
      <c r="JD40" s="31"/>
      <c r="JE40" s="31"/>
      <c r="JF40" s="31"/>
      <c r="JG40" s="31"/>
      <c r="JH40" s="31"/>
      <c r="JI40" s="31"/>
      <c r="JJ40" s="31"/>
      <c r="JK40" s="31"/>
      <c r="JL40" s="31"/>
      <c r="JM40" s="31"/>
      <c r="JN40" s="31"/>
      <c r="JO40" s="31"/>
      <c r="JP40" s="31"/>
      <c r="JQ40" s="31"/>
      <c r="JR40" s="31"/>
      <c r="JS40" s="31"/>
      <c r="JT40" s="31"/>
      <c r="JU40" s="31"/>
      <c r="JV40" s="31"/>
      <c r="JW40" s="31"/>
      <c r="JX40" s="31"/>
      <c r="JY40" s="31"/>
      <c r="JZ40" s="31"/>
      <c r="KA40" s="31"/>
      <c r="KB40" s="31"/>
      <c r="KC40" s="31"/>
      <c r="KD40" s="31"/>
      <c r="KE40" s="31"/>
      <c r="KF40" s="31"/>
      <c r="KG40" s="31"/>
      <c r="KH40" s="31"/>
      <c r="KI40" s="31"/>
      <c r="KJ40" s="31"/>
      <c r="KK40" s="31"/>
      <c r="KL40" s="31"/>
      <c r="KM40" s="31"/>
      <c r="KN40" s="31"/>
      <c r="KO40" s="31"/>
      <c r="KP40" s="31"/>
      <c r="KQ40" s="31"/>
      <c r="KR40" s="31"/>
      <c r="KS40" s="31"/>
      <c r="KT40" s="31"/>
      <c r="KU40" s="31"/>
      <c r="KV40" s="31"/>
      <c r="KW40" s="31"/>
      <c r="KX40" s="31"/>
      <c r="KY40" s="31"/>
      <c r="KZ40" s="31"/>
      <c r="LA40" s="31"/>
      <c r="LB40" s="31"/>
      <c r="LC40" s="31"/>
      <c r="LD40" s="31"/>
      <c r="LE40" s="31"/>
      <c r="LF40" s="31"/>
      <c r="LG40" s="31"/>
      <c r="LH40" s="31"/>
      <c r="LI40" s="31"/>
      <c r="LJ40" s="31"/>
      <c r="LK40" s="31"/>
      <c r="LL40" s="31"/>
      <c r="LM40" s="31"/>
      <c r="LN40" s="31"/>
      <c r="LO40" s="31"/>
      <c r="LP40" s="31"/>
      <c r="LQ40" s="31"/>
      <c r="LR40" s="31"/>
      <c r="LS40" s="31"/>
      <c r="LT40" s="31"/>
      <c r="LU40" s="31"/>
      <c r="LV40" s="31"/>
      <c r="LW40" s="31"/>
      <c r="LX40" s="31"/>
      <c r="LY40" s="31"/>
      <c r="LZ40" s="31"/>
      <c r="MA40" s="31"/>
      <c r="MB40" s="31"/>
      <c r="MC40" s="31"/>
      <c r="MD40" s="31"/>
      <c r="ME40" s="31"/>
      <c r="MF40" s="31"/>
      <c r="MG40" s="31"/>
      <c r="MH40" s="31"/>
      <c r="MI40" s="31"/>
      <c r="MJ40" s="31"/>
      <c r="MK40" s="31"/>
      <c r="ML40" s="31"/>
      <c r="MM40" s="31"/>
      <c r="MN40" s="31"/>
      <c r="MO40" s="31"/>
      <c r="MP40" s="31"/>
      <c r="MQ40" s="31"/>
      <c r="MR40" s="31"/>
      <c r="MS40" s="31"/>
      <c r="MT40" s="31"/>
      <c r="MU40" s="31"/>
      <c r="MV40" s="31"/>
      <c r="MW40" s="31"/>
      <c r="MX40" s="31"/>
      <c r="MY40" s="31"/>
      <c r="MZ40" s="31"/>
      <c r="NA40" s="31"/>
      <c r="NB40" s="31"/>
      <c r="NC40" s="31"/>
      <c r="ND40" s="31"/>
      <c r="NE40" s="31"/>
      <c r="NF40" s="31"/>
      <c r="NG40" s="31"/>
      <c r="NH40" s="31"/>
      <c r="NI40" s="31"/>
      <c r="NJ40" s="31"/>
      <c r="NK40" s="31"/>
      <c r="NL40" s="31"/>
      <c r="NM40" s="31"/>
      <c r="NN40" s="31"/>
      <c r="NO40" s="31"/>
      <c r="NP40" s="31"/>
      <c r="NQ40" s="31"/>
      <c r="NR40" s="31"/>
      <c r="NS40" s="31"/>
      <c r="NT40" s="31"/>
      <c r="NU40" s="31"/>
      <c r="NV40" s="31"/>
      <c r="NW40" s="31"/>
      <c r="NX40" s="31"/>
      <c r="NY40" s="31"/>
      <c r="NZ40" s="31"/>
      <c r="OA40" s="31"/>
      <c r="OB40" s="31"/>
      <c r="OC40" s="31"/>
      <c r="OD40" s="31"/>
      <c r="OE40" s="31"/>
      <c r="OF40" s="31"/>
      <c r="OG40" s="31"/>
      <c r="OH40" s="31"/>
      <c r="OI40" s="31"/>
      <c r="OJ40" s="31"/>
      <c r="OK40" s="31"/>
      <c r="OL40" s="31"/>
      <c r="OM40" s="31"/>
      <c r="ON40" s="31"/>
      <c r="OO40" s="31"/>
      <c r="OP40" s="31"/>
      <c r="OQ40" s="31"/>
      <c r="OR40" s="31"/>
      <c r="OS40" s="31"/>
      <c r="OT40" s="31"/>
      <c r="OU40" s="31"/>
      <c r="OV40" s="31"/>
      <c r="OW40" s="31"/>
      <c r="OX40" s="31"/>
      <c r="OY40" s="31"/>
      <c r="OZ40" s="31"/>
      <c r="PA40" s="31"/>
      <c r="PB40" s="31"/>
      <c r="PC40" s="31"/>
      <c r="PD40" s="31"/>
      <c r="PE40" s="31"/>
      <c r="PF40" s="31"/>
      <c r="PG40" s="31"/>
      <c r="PH40" s="31"/>
      <c r="PI40" s="31"/>
      <c r="PJ40" s="31"/>
      <c r="PK40" s="31"/>
      <c r="PL40" s="31"/>
      <c r="PM40" s="31"/>
      <c r="PN40" s="31"/>
      <c r="PO40" s="31"/>
      <c r="PP40" s="31"/>
      <c r="PQ40" s="31"/>
      <c r="PR40" s="31"/>
      <c r="PS40" s="31"/>
      <c r="PT40" s="31"/>
      <c r="PU40" s="31"/>
      <c r="PV40" s="31"/>
      <c r="PW40" s="31"/>
      <c r="PX40" s="31"/>
      <c r="PY40" s="31"/>
      <c r="PZ40" s="31"/>
      <c r="QA40" s="31"/>
      <c r="QB40" s="31"/>
      <c r="QC40" s="31"/>
      <c r="QD40" s="31"/>
      <c r="QE40" s="31"/>
      <c r="QF40" s="31"/>
      <c r="QG40" s="31"/>
      <c r="QH40" s="31"/>
      <c r="QI40" s="31"/>
      <c r="QJ40" s="31"/>
      <c r="QK40" s="31"/>
      <c r="QL40" s="31"/>
      <c r="QM40" s="31"/>
      <c r="QN40" s="31"/>
      <c r="QO40" s="31"/>
      <c r="QP40" s="31"/>
      <c r="QQ40" s="31"/>
      <c r="QR40" s="31"/>
      <c r="QS40" s="31"/>
      <c r="QT40" s="31"/>
      <c r="QU40" s="31"/>
      <c r="QV40" s="31"/>
      <c r="QW40" s="31"/>
      <c r="QX40" s="31"/>
      <c r="QY40" s="31"/>
      <c r="QZ40" s="31"/>
      <c r="RA40" s="31"/>
      <c r="RB40" s="31"/>
      <c r="RC40" s="31"/>
      <c r="RD40" s="31"/>
      <c r="RE40" s="31"/>
      <c r="RF40" s="31"/>
      <c r="RG40" s="31"/>
      <c r="RH40" s="31"/>
      <c r="RI40" s="31"/>
      <c r="RJ40" s="31"/>
      <c r="RK40" s="31"/>
      <c r="RL40" s="31"/>
      <c r="RM40" s="31"/>
      <c r="RN40" s="31"/>
      <c r="RO40" s="31"/>
      <c r="RP40" s="31"/>
      <c r="RQ40" s="31"/>
      <c r="RR40" s="31"/>
      <c r="RS40" s="31"/>
      <c r="RT40" s="31"/>
      <c r="RU40" s="31"/>
      <c r="RV40" s="31"/>
      <c r="RW40" s="31"/>
      <c r="RX40" s="31"/>
      <c r="RY40" s="31"/>
      <c r="RZ40" s="31"/>
      <c r="SA40" s="31"/>
      <c r="SB40" s="31"/>
      <c r="SC40" s="31"/>
      <c r="SD40" s="78"/>
      <c r="SE40" s="31"/>
      <c r="SF40" s="31"/>
      <c r="SG40" s="31"/>
      <c r="SH40" s="31"/>
      <c r="SI40" s="31"/>
      <c r="SJ40" s="82"/>
      <c r="SK40" s="6"/>
    </row>
    <row r="41" ht="14.25" customHeight="1">
      <c r="A41" s="80" t="s">
        <v>567</v>
      </c>
      <c r="B41" s="30" t="s">
        <v>601</v>
      </c>
      <c r="C41" s="81"/>
      <c r="D41" s="74">
        <f t="shared" si="4"/>
        <v>8331.94</v>
      </c>
      <c r="E41" s="78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83">
        <v>6922.94</v>
      </c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83">
        <v>1409.0</v>
      </c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 s="31"/>
      <c r="ER41" s="31"/>
      <c r="ES41" s="31"/>
      <c r="ET41" s="31"/>
      <c r="EU41" s="31"/>
      <c r="EV41" s="31"/>
      <c r="EW41" s="31"/>
      <c r="EX41" s="31"/>
      <c r="EY41" s="31"/>
      <c r="EZ41" s="31"/>
      <c r="FA41" s="31"/>
      <c r="FB41" s="31"/>
      <c r="FC41" s="31"/>
      <c r="FD41" s="31"/>
      <c r="FE41" s="31"/>
      <c r="FF41" s="31"/>
      <c r="FG41" s="31"/>
      <c r="FH41" s="31"/>
      <c r="FI41" s="31"/>
      <c r="FJ41" s="31"/>
      <c r="FK41" s="31"/>
      <c r="FL41" s="31"/>
      <c r="FM41" s="31"/>
      <c r="FN41" s="31"/>
      <c r="FO41" s="31"/>
      <c r="FP41" s="31"/>
      <c r="FQ41" s="31"/>
      <c r="FR41" s="31"/>
      <c r="FS41" s="31"/>
      <c r="FT41" s="31"/>
      <c r="FU41" s="31"/>
      <c r="FV41" s="31"/>
      <c r="FW41" s="31"/>
      <c r="FX41" s="31"/>
      <c r="FY41" s="31"/>
      <c r="FZ41" s="31"/>
      <c r="GA41" s="31"/>
      <c r="GB41" s="31"/>
      <c r="GC41" s="31"/>
      <c r="GD41" s="31"/>
      <c r="GE41" s="31"/>
      <c r="GF41" s="31"/>
      <c r="GG41" s="31"/>
      <c r="GH41" s="31"/>
      <c r="GI41" s="31"/>
      <c r="GJ41" s="31"/>
      <c r="GK41" s="31"/>
      <c r="GL41" s="31"/>
      <c r="GM41" s="31"/>
      <c r="GN41" s="31"/>
      <c r="GO41" s="31"/>
      <c r="GP41" s="31"/>
      <c r="GQ41" s="31"/>
      <c r="GR41" s="31"/>
      <c r="GS41" s="31"/>
      <c r="GT41" s="31"/>
      <c r="GU41" s="31"/>
      <c r="GV41" s="31"/>
      <c r="GW41" s="31"/>
      <c r="GX41" s="31"/>
      <c r="GY41" s="31"/>
      <c r="GZ41" s="31"/>
      <c r="HA41" s="31"/>
      <c r="HB41" s="31"/>
      <c r="HC41" s="31"/>
      <c r="HD41" s="31"/>
      <c r="HE41" s="31"/>
      <c r="HF41" s="31"/>
      <c r="HG41" s="31"/>
      <c r="HH41" s="31"/>
      <c r="HI41" s="31"/>
      <c r="HJ41" s="31"/>
      <c r="HK41" s="31"/>
      <c r="HL41" s="31"/>
      <c r="HM41" s="31"/>
      <c r="HN41" s="31"/>
      <c r="HO41" s="31"/>
      <c r="HP41" s="31"/>
      <c r="HQ41" s="31"/>
      <c r="HR41" s="31"/>
      <c r="HS41" s="31"/>
      <c r="HT41" s="31"/>
      <c r="HU41" s="31"/>
      <c r="HV41" s="31"/>
      <c r="HW41" s="31"/>
      <c r="HX41" s="31"/>
      <c r="HY41" s="31"/>
      <c r="HZ41" s="31"/>
      <c r="IA41" s="31"/>
      <c r="IB41" s="31"/>
      <c r="IC41" s="31"/>
      <c r="ID41" s="31"/>
      <c r="IE41" s="31"/>
      <c r="IF41" s="31"/>
      <c r="IG41" s="31"/>
      <c r="IH41" s="31"/>
      <c r="II41" s="31"/>
      <c r="IJ41" s="31"/>
      <c r="IK41" s="31"/>
      <c r="IL41" s="31"/>
      <c r="IM41" s="31"/>
      <c r="IN41" s="31"/>
      <c r="IO41" s="31"/>
      <c r="IP41" s="31"/>
      <c r="IQ41" s="31"/>
      <c r="IR41" s="31"/>
      <c r="IS41" s="31"/>
      <c r="IT41" s="31"/>
      <c r="IU41" s="31"/>
      <c r="IV41" s="31"/>
      <c r="IW41" s="31"/>
      <c r="IX41" s="31"/>
      <c r="IY41" s="31"/>
      <c r="IZ41" s="31"/>
      <c r="JA41" s="31"/>
      <c r="JB41" s="31"/>
      <c r="JC41" s="31"/>
      <c r="JD41" s="31"/>
      <c r="JE41" s="31"/>
      <c r="JF41" s="31"/>
      <c r="JG41" s="31"/>
      <c r="JH41" s="31"/>
      <c r="JI41" s="31"/>
      <c r="JJ41" s="31"/>
      <c r="JK41" s="31"/>
      <c r="JL41" s="31"/>
      <c r="JM41" s="31"/>
      <c r="JN41" s="31"/>
      <c r="JO41" s="31"/>
      <c r="JP41" s="31"/>
      <c r="JQ41" s="31"/>
      <c r="JR41" s="31"/>
      <c r="JS41" s="31"/>
      <c r="JT41" s="31"/>
      <c r="JU41" s="31"/>
      <c r="JV41" s="31"/>
      <c r="JW41" s="31"/>
      <c r="JX41" s="31"/>
      <c r="JY41" s="31"/>
      <c r="JZ41" s="31"/>
      <c r="KA41" s="31"/>
      <c r="KB41" s="31"/>
      <c r="KC41" s="31"/>
      <c r="KD41" s="31"/>
      <c r="KE41" s="31"/>
      <c r="KF41" s="31"/>
      <c r="KG41" s="31"/>
      <c r="KH41" s="31"/>
      <c r="KI41" s="31"/>
      <c r="KJ41" s="31"/>
      <c r="KK41" s="31"/>
      <c r="KL41" s="31"/>
      <c r="KM41" s="31"/>
      <c r="KN41" s="31"/>
      <c r="KO41" s="31"/>
      <c r="KP41" s="31"/>
      <c r="KQ41" s="31"/>
      <c r="KR41" s="31"/>
      <c r="KS41" s="31"/>
      <c r="KT41" s="31"/>
      <c r="KU41" s="31"/>
      <c r="KV41" s="31"/>
      <c r="KW41" s="31"/>
      <c r="KX41" s="31"/>
      <c r="KY41" s="31"/>
      <c r="KZ41" s="31"/>
      <c r="LA41" s="31"/>
      <c r="LB41" s="31"/>
      <c r="LC41" s="31"/>
      <c r="LD41" s="31"/>
      <c r="LE41" s="31"/>
      <c r="LF41" s="31"/>
      <c r="LG41" s="31"/>
      <c r="LH41" s="31"/>
      <c r="LI41" s="31"/>
      <c r="LJ41" s="31"/>
      <c r="LK41" s="31"/>
      <c r="LL41" s="31"/>
      <c r="LM41" s="31"/>
      <c r="LN41" s="31"/>
      <c r="LO41" s="31"/>
      <c r="LP41" s="31"/>
      <c r="LQ41" s="31"/>
      <c r="LR41" s="31"/>
      <c r="LS41" s="31"/>
      <c r="LT41" s="31"/>
      <c r="LU41" s="31"/>
      <c r="LV41" s="31"/>
      <c r="LW41" s="31"/>
      <c r="LX41" s="31"/>
      <c r="LY41" s="31"/>
      <c r="LZ41" s="31"/>
      <c r="MA41" s="31"/>
      <c r="MB41" s="31"/>
      <c r="MC41" s="31"/>
      <c r="MD41" s="31"/>
      <c r="ME41" s="31"/>
      <c r="MF41" s="31"/>
      <c r="MG41" s="31"/>
      <c r="MH41" s="31"/>
      <c r="MI41" s="31"/>
      <c r="MJ41" s="31"/>
      <c r="MK41" s="31"/>
      <c r="ML41" s="31"/>
      <c r="MM41" s="31"/>
      <c r="MN41" s="31"/>
      <c r="MO41" s="31"/>
      <c r="MP41" s="31"/>
      <c r="MQ41" s="31"/>
      <c r="MR41" s="31"/>
      <c r="MS41" s="31"/>
      <c r="MT41" s="31"/>
      <c r="MU41" s="31"/>
      <c r="MV41" s="31"/>
      <c r="MW41" s="31"/>
      <c r="MX41" s="31"/>
      <c r="MY41" s="31"/>
      <c r="MZ41" s="31"/>
      <c r="NA41" s="31"/>
      <c r="NB41" s="31"/>
      <c r="NC41" s="31"/>
      <c r="ND41" s="31"/>
      <c r="NE41" s="31"/>
      <c r="NF41" s="31"/>
      <c r="NG41" s="31"/>
      <c r="NH41" s="31"/>
      <c r="NI41" s="31"/>
      <c r="NJ41" s="31"/>
      <c r="NK41" s="31"/>
      <c r="NL41" s="31"/>
      <c r="NM41" s="31"/>
      <c r="NN41" s="31"/>
      <c r="NO41" s="31"/>
      <c r="NP41" s="31"/>
      <c r="NQ41" s="31"/>
      <c r="NR41" s="31"/>
      <c r="NS41" s="31"/>
      <c r="NT41" s="31"/>
      <c r="NU41" s="31"/>
      <c r="NV41" s="31"/>
      <c r="NW41" s="31"/>
      <c r="NX41" s="31"/>
      <c r="NY41" s="31"/>
      <c r="NZ41" s="31"/>
      <c r="OA41" s="31"/>
      <c r="OB41" s="31"/>
      <c r="OC41" s="31"/>
      <c r="OD41" s="31"/>
      <c r="OE41" s="31"/>
      <c r="OF41" s="31"/>
      <c r="OG41" s="31"/>
      <c r="OH41" s="31"/>
      <c r="OI41" s="31"/>
      <c r="OJ41" s="31"/>
      <c r="OK41" s="31"/>
      <c r="OL41" s="31"/>
      <c r="OM41" s="31"/>
      <c r="ON41" s="31"/>
      <c r="OO41" s="31"/>
      <c r="OP41" s="31"/>
      <c r="OQ41" s="31"/>
      <c r="OR41" s="31"/>
      <c r="OS41" s="31"/>
      <c r="OT41" s="31"/>
      <c r="OU41" s="31"/>
      <c r="OV41" s="31"/>
      <c r="OW41" s="31"/>
      <c r="OX41" s="31"/>
      <c r="OY41" s="31"/>
      <c r="OZ41" s="31"/>
      <c r="PA41" s="31"/>
      <c r="PB41" s="31"/>
      <c r="PC41" s="31"/>
      <c r="PD41" s="31"/>
      <c r="PE41" s="31"/>
      <c r="PF41" s="31"/>
      <c r="PG41" s="31"/>
      <c r="PH41" s="31"/>
      <c r="PI41" s="31"/>
      <c r="PJ41" s="31"/>
      <c r="PK41" s="31"/>
      <c r="PL41" s="31"/>
      <c r="PM41" s="31"/>
      <c r="PN41" s="31"/>
      <c r="PO41" s="31"/>
      <c r="PP41" s="31"/>
      <c r="PQ41" s="31"/>
      <c r="PR41" s="31"/>
      <c r="PS41" s="31"/>
      <c r="PT41" s="31"/>
      <c r="PU41" s="31"/>
      <c r="PV41" s="31"/>
      <c r="PW41" s="31"/>
      <c r="PX41" s="31"/>
      <c r="PY41" s="31"/>
      <c r="PZ41" s="31"/>
      <c r="QA41" s="31"/>
      <c r="QB41" s="31"/>
      <c r="QC41" s="31"/>
      <c r="QD41" s="31"/>
      <c r="QE41" s="31"/>
      <c r="QF41" s="31"/>
      <c r="QG41" s="31"/>
      <c r="QH41" s="31"/>
      <c r="QI41" s="31"/>
      <c r="QJ41" s="31"/>
      <c r="QK41" s="31"/>
      <c r="QL41" s="31"/>
      <c r="QM41" s="31"/>
      <c r="QN41" s="31"/>
      <c r="QO41" s="31"/>
      <c r="QP41" s="31"/>
      <c r="QQ41" s="31"/>
      <c r="QR41" s="31"/>
      <c r="QS41" s="31"/>
      <c r="QT41" s="31"/>
      <c r="QU41" s="31"/>
      <c r="QV41" s="31"/>
      <c r="QW41" s="31"/>
      <c r="QX41" s="31"/>
      <c r="QY41" s="31"/>
      <c r="QZ41" s="31"/>
      <c r="RA41" s="31"/>
      <c r="RB41" s="31"/>
      <c r="RC41" s="31"/>
      <c r="RD41" s="31"/>
      <c r="RE41" s="31"/>
      <c r="RF41" s="31"/>
      <c r="RG41" s="31"/>
      <c r="RH41" s="31"/>
      <c r="RI41" s="31"/>
      <c r="RJ41" s="31"/>
      <c r="RK41" s="31"/>
      <c r="RL41" s="31"/>
      <c r="RM41" s="31"/>
      <c r="RN41" s="31"/>
      <c r="RO41" s="31"/>
      <c r="RP41" s="31"/>
      <c r="RQ41" s="31"/>
      <c r="RR41" s="31"/>
      <c r="RS41" s="31"/>
      <c r="RT41" s="31"/>
      <c r="RU41" s="31"/>
      <c r="RV41" s="31"/>
      <c r="RW41" s="31"/>
      <c r="RX41" s="31"/>
      <c r="RY41" s="31"/>
      <c r="RZ41" s="31"/>
      <c r="SA41" s="31"/>
      <c r="SB41" s="31"/>
      <c r="SC41" s="31"/>
      <c r="SD41" s="78"/>
      <c r="SE41" s="31"/>
      <c r="SF41" s="31"/>
      <c r="SG41" s="31"/>
      <c r="SH41" s="31"/>
      <c r="SI41" s="31"/>
      <c r="SJ41" s="82"/>
      <c r="SK41" s="6"/>
    </row>
    <row r="42" ht="14.25" customHeight="1">
      <c r="A42" s="80" t="s">
        <v>567</v>
      </c>
      <c r="B42" s="30" t="s">
        <v>602</v>
      </c>
      <c r="C42" s="81"/>
      <c r="D42" s="74">
        <f t="shared" si="4"/>
        <v>1204</v>
      </c>
      <c r="E42" s="78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83">
        <v>179.0</v>
      </c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83">
        <v>179.0</v>
      </c>
      <c r="AD42" s="31"/>
      <c r="AE42" s="31"/>
      <c r="AF42" s="31"/>
      <c r="AG42" s="31"/>
      <c r="AH42" s="31"/>
      <c r="AI42" s="31"/>
      <c r="AJ42" s="31"/>
      <c r="AK42" s="31"/>
      <c r="AL42" s="83">
        <v>179.0</v>
      </c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83">
        <v>179.0</v>
      </c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83">
        <v>179.0</v>
      </c>
      <c r="BT42" s="31"/>
      <c r="BU42" s="31"/>
      <c r="BV42" s="31"/>
      <c r="BW42" s="31"/>
      <c r="BX42" s="31"/>
      <c r="BY42" s="31"/>
      <c r="BZ42" s="31"/>
      <c r="CA42" s="31"/>
      <c r="CB42" s="31"/>
      <c r="CC42" s="83">
        <v>309.0</v>
      </c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/>
      <c r="DV42" s="31"/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/>
      <c r="EN42" s="31"/>
      <c r="EO42" s="31"/>
      <c r="EP42" s="31"/>
      <c r="EQ42" s="31"/>
      <c r="ER42" s="31"/>
      <c r="ES42" s="31"/>
      <c r="ET42" s="31"/>
      <c r="EU42" s="31"/>
      <c r="EV42" s="31"/>
      <c r="EW42" s="31"/>
      <c r="EX42" s="31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1"/>
      <c r="FX42" s="31"/>
      <c r="FY42" s="31"/>
      <c r="FZ42" s="31"/>
      <c r="GA42" s="31"/>
      <c r="GB42" s="31"/>
      <c r="GC42" s="31"/>
      <c r="GD42" s="31"/>
      <c r="GE42" s="31"/>
      <c r="GF42" s="31"/>
      <c r="GG42" s="31"/>
      <c r="GH42" s="31"/>
      <c r="GI42" s="31"/>
      <c r="GJ42" s="31"/>
      <c r="GK42" s="31"/>
      <c r="GL42" s="31"/>
      <c r="GM42" s="31"/>
      <c r="GN42" s="31"/>
      <c r="GO42" s="31"/>
      <c r="GP42" s="31"/>
      <c r="GQ42" s="31"/>
      <c r="GR42" s="31"/>
      <c r="GS42" s="31"/>
      <c r="GT42" s="31"/>
      <c r="GU42" s="31"/>
      <c r="GV42" s="31"/>
      <c r="GW42" s="31"/>
      <c r="GX42" s="31"/>
      <c r="GY42" s="31"/>
      <c r="GZ42" s="31"/>
      <c r="HA42" s="31"/>
      <c r="HB42" s="31"/>
      <c r="HC42" s="31"/>
      <c r="HD42" s="31"/>
      <c r="HE42" s="31"/>
      <c r="HF42" s="31"/>
      <c r="HG42" s="31"/>
      <c r="HH42" s="31"/>
      <c r="HI42" s="31"/>
      <c r="HJ42" s="31"/>
      <c r="HK42" s="31"/>
      <c r="HL42" s="31"/>
      <c r="HM42" s="31"/>
      <c r="HN42" s="31"/>
      <c r="HO42" s="31"/>
      <c r="HP42" s="31"/>
      <c r="HQ42" s="31"/>
      <c r="HR42" s="31"/>
      <c r="HS42" s="31"/>
      <c r="HT42" s="31"/>
      <c r="HU42" s="31"/>
      <c r="HV42" s="31"/>
      <c r="HW42" s="31"/>
      <c r="HX42" s="31"/>
      <c r="HY42" s="31"/>
      <c r="HZ42" s="31"/>
      <c r="IA42" s="31"/>
      <c r="IB42" s="31"/>
      <c r="IC42" s="31"/>
      <c r="ID42" s="31"/>
      <c r="IE42" s="31"/>
      <c r="IF42" s="31"/>
      <c r="IG42" s="31"/>
      <c r="IH42" s="31"/>
      <c r="II42" s="31"/>
      <c r="IJ42" s="31"/>
      <c r="IK42" s="31"/>
      <c r="IL42" s="31"/>
      <c r="IM42" s="31"/>
      <c r="IN42" s="31"/>
      <c r="IO42" s="31"/>
      <c r="IP42" s="31"/>
      <c r="IQ42" s="31"/>
      <c r="IR42" s="31"/>
      <c r="IS42" s="31"/>
      <c r="IT42" s="31"/>
      <c r="IU42" s="31"/>
      <c r="IV42" s="31"/>
      <c r="IW42" s="31"/>
      <c r="IX42" s="31"/>
      <c r="IY42" s="31"/>
      <c r="IZ42" s="31"/>
      <c r="JA42" s="31"/>
      <c r="JB42" s="31"/>
      <c r="JC42" s="31"/>
      <c r="JD42" s="31"/>
      <c r="JE42" s="31"/>
      <c r="JF42" s="31"/>
      <c r="JG42" s="31"/>
      <c r="JH42" s="31"/>
      <c r="JI42" s="31"/>
      <c r="JJ42" s="31"/>
      <c r="JK42" s="31"/>
      <c r="JL42" s="31"/>
      <c r="JM42" s="31"/>
      <c r="JN42" s="31"/>
      <c r="JO42" s="31"/>
      <c r="JP42" s="31"/>
      <c r="JQ42" s="31"/>
      <c r="JR42" s="31"/>
      <c r="JS42" s="31"/>
      <c r="JT42" s="31"/>
      <c r="JU42" s="31"/>
      <c r="JV42" s="31"/>
      <c r="JW42" s="31"/>
      <c r="JX42" s="31"/>
      <c r="JY42" s="31"/>
      <c r="JZ42" s="31"/>
      <c r="KA42" s="31"/>
      <c r="KB42" s="31"/>
      <c r="KC42" s="31"/>
      <c r="KD42" s="31"/>
      <c r="KE42" s="31"/>
      <c r="KF42" s="31"/>
      <c r="KG42" s="31"/>
      <c r="KH42" s="31"/>
      <c r="KI42" s="31"/>
      <c r="KJ42" s="31"/>
      <c r="KK42" s="31"/>
      <c r="KL42" s="31"/>
      <c r="KM42" s="31"/>
      <c r="KN42" s="31"/>
      <c r="KO42" s="31"/>
      <c r="KP42" s="31"/>
      <c r="KQ42" s="31"/>
      <c r="KR42" s="31"/>
      <c r="KS42" s="31"/>
      <c r="KT42" s="31"/>
      <c r="KU42" s="31"/>
      <c r="KV42" s="31"/>
      <c r="KW42" s="31"/>
      <c r="KX42" s="31"/>
      <c r="KY42" s="31"/>
      <c r="KZ42" s="31"/>
      <c r="LA42" s="31"/>
      <c r="LB42" s="31"/>
      <c r="LC42" s="31"/>
      <c r="LD42" s="31"/>
      <c r="LE42" s="31"/>
      <c r="LF42" s="31"/>
      <c r="LG42" s="31"/>
      <c r="LH42" s="31"/>
      <c r="LI42" s="31"/>
      <c r="LJ42" s="31"/>
      <c r="LK42" s="31"/>
      <c r="LL42" s="31"/>
      <c r="LM42" s="31"/>
      <c r="LN42" s="31"/>
      <c r="LO42" s="31"/>
      <c r="LP42" s="31"/>
      <c r="LQ42" s="31"/>
      <c r="LR42" s="31"/>
      <c r="LS42" s="31"/>
      <c r="LT42" s="31"/>
      <c r="LU42" s="31"/>
      <c r="LV42" s="31"/>
      <c r="LW42" s="31"/>
      <c r="LX42" s="31"/>
      <c r="LY42" s="31"/>
      <c r="LZ42" s="31"/>
      <c r="MA42" s="31"/>
      <c r="MB42" s="31"/>
      <c r="MC42" s="31"/>
      <c r="MD42" s="31"/>
      <c r="ME42" s="31"/>
      <c r="MF42" s="31"/>
      <c r="MG42" s="31"/>
      <c r="MH42" s="31"/>
      <c r="MI42" s="31"/>
      <c r="MJ42" s="31"/>
      <c r="MK42" s="31"/>
      <c r="ML42" s="31"/>
      <c r="MM42" s="31"/>
      <c r="MN42" s="31"/>
      <c r="MO42" s="31"/>
      <c r="MP42" s="31"/>
      <c r="MQ42" s="31"/>
      <c r="MR42" s="31"/>
      <c r="MS42" s="31"/>
      <c r="MT42" s="31"/>
      <c r="MU42" s="31"/>
      <c r="MV42" s="31"/>
      <c r="MW42" s="31"/>
      <c r="MX42" s="31"/>
      <c r="MY42" s="31"/>
      <c r="MZ42" s="31"/>
      <c r="NA42" s="31"/>
      <c r="NB42" s="31"/>
      <c r="NC42" s="31"/>
      <c r="ND42" s="31"/>
      <c r="NE42" s="31"/>
      <c r="NF42" s="31"/>
      <c r="NG42" s="31"/>
      <c r="NH42" s="31"/>
      <c r="NI42" s="31"/>
      <c r="NJ42" s="31"/>
      <c r="NK42" s="31"/>
      <c r="NL42" s="31"/>
      <c r="NM42" s="31"/>
      <c r="NN42" s="31"/>
      <c r="NO42" s="31"/>
      <c r="NP42" s="31"/>
      <c r="NQ42" s="31"/>
      <c r="NR42" s="31"/>
      <c r="NS42" s="31"/>
      <c r="NT42" s="31"/>
      <c r="NU42" s="31"/>
      <c r="NV42" s="31"/>
      <c r="NW42" s="31"/>
      <c r="NX42" s="31"/>
      <c r="NY42" s="31"/>
      <c r="NZ42" s="31"/>
      <c r="OA42" s="31"/>
      <c r="OB42" s="31"/>
      <c r="OC42" s="31"/>
      <c r="OD42" s="31"/>
      <c r="OE42" s="31"/>
      <c r="OF42" s="31"/>
      <c r="OG42" s="31"/>
      <c r="OH42" s="31"/>
      <c r="OI42" s="31"/>
      <c r="OJ42" s="31"/>
      <c r="OK42" s="31"/>
      <c r="OL42" s="31"/>
      <c r="OM42" s="31"/>
      <c r="ON42" s="31"/>
      <c r="OO42" s="31"/>
      <c r="OP42" s="31"/>
      <c r="OQ42" s="31"/>
      <c r="OR42" s="31"/>
      <c r="OS42" s="31"/>
      <c r="OT42" s="31"/>
      <c r="OU42" s="31"/>
      <c r="OV42" s="31"/>
      <c r="OW42" s="31"/>
      <c r="OX42" s="31"/>
      <c r="OY42" s="31"/>
      <c r="OZ42" s="31"/>
      <c r="PA42" s="31"/>
      <c r="PB42" s="31"/>
      <c r="PC42" s="31"/>
      <c r="PD42" s="31"/>
      <c r="PE42" s="31"/>
      <c r="PF42" s="31"/>
      <c r="PG42" s="31"/>
      <c r="PH42" s="31"/>
      <c r="PI42" s="31"/>
      <c r="PJ42" s="31"/>
      <c r="PK42" s="31"/>
      <c r="PL42" s="31"/>
      <c r="PM42" s="31"/>
      <c r="PN42" s="31"/>
      <c r="PO42" s="31"/>
      <c r="PP42" s="31"/>
      <c r="PQ42" s="31"/>
      <c r="PR42" s="31"/>
      <c r="PS42" s="31"/>
      <c r="PT42" s="31"/>
      <c r="PU42" s="31"/>
      <c r="PV42" s="31"/>
      <c r="PW42" s="31"/>
      <c r="PX42" s="31"/>
      <c r="PY42" s="31"/>
      <c r="PZ42" s="31"/>
      <c r="QA42" s="31"/>
      <c r="QB42" s="31"/>
      <c r="QC42" s="31"/>
      <c r="QD42" s="31"/>
      <c r="QE42" s="31"/>
      <c r="QF42" s="31"/>
      <c r="QG42" s="31"/>
      <c r="QH42" s="31"/>
      <c r="QI42" s="31"/>
      <c r="QJ42" s="31"/>
      <c r="QK42" s="31"/>
      <c r="QL42" s="31"/>
      <c r="QM42" s="31"/>
      <c r="QN42" s="31"/>
      <c r="QO42" s="31"/>
      <c r="QP42" s="31"/>
      <c r="QQ42" s="31"/>
      <c r="QR42" s="31"/>
      <c r="QS42" s="31"/>
      <c r="QT42" s="31"/>
      <c r="QU42" s="31"/>
      <c r="QV42" s="31"/>
      <c r="QW42" s="31"/>
      <c r="QX42" s="31"/>
      <c r="QY42" s="31"/>
      <c r="QZ42" s="31"/>
      <c r="RA42" s="31"/>
      <c r="RB42" s="31"/>
      <c r="RC42" s="31"/>
      <c r="RD42" s="31"/>
      <c r="RE42" s="31"/>
      <c r="RF42" s="31"/>
      <c r="RG42" s="31"/>
      <c r="RH42" s="31"/>
      <c r="RI42" s="31"/>
      <c r="RJ42" s="31"/>
      <c r="RK42" s="31"/>
      <c r="RL42" s="31"/>
      <c r="RM42" s="31"/>
      <c r="RN42" s="31"/>
      <c r="RO42" s="31"/>
      <c r="RP42" s="31"/>
      <c r="RQ42" s="31"/>
      <c r="RR42" s="31"/>
      <c r="RS42" s="31"/>
      <c r="RT42" s="31"/>
      <c r="RU42" s="31"/>
      <c r="RV42" s="31"/>
      <c r="RW42" s="31"/>
      <c r="RX42" s="31"/>
      <c r="RY42" s="31"/>
      <c r="RZ42" s="31"/>
      <c r="SA42" s="31"/>
      <c r="SB42" s="31"/>
      <c r="SC42" s="31"/>
      <c r="SD42" s="31"/>
      <c r="SE42" s="31"/>
      <c r="SF42" s="31"/>
      <c r="SG42" s="31"/>
      <c r="SH42" s="31"/>
      <c r="SI42" s="31"/>
      <c r="SJ42" s="82"/>
      <c r="SK42" s="6"/>
    </row>
    <row r="43" ht="14.25" customHeight="1">
      <c r="A43" s="80" t="s">
        <v>567</v>
      </c>
      <c r="B43" s="30" t="s">
        <v>603</v>
      </c>
      <c r="C43" s="81"/>
      <c r="D43" s="74">
        <f t="shared" si="4"/>
        <v>0</v>
      </c>
      <c r="E43" s="78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  <c r="CW43" s="31"/>
      <c r="CX43" s="31"/>
      <c r="CY43" s="31"/>
      <c r="CZ43" s="31"/>
      <c r="DA43" s="31"/>
      <c r="DB43" s="31"/>
      <c r="DC43" s="31"/>
      <c r="DD43" s="31"/>
      <c r="DE43" s="31"/>
      <c r="DF43" s="31"/>
      <c r="DG43" s="31"/>
      <c r="DH43" s="31"/>
      <c r="DI43" s="31"/>
      <c r="DJ43" s="31"/>
      <c r="DK43" s="31"/>
      <c r="DL43" s="31"/>
      <c r="DM43" s="31"/>
      <c r="DN43" s="31"/>
      <c r="DO43" s="31"/>
      <c r="DP43" s="31"/>
      <c r="DQ43" s="31"/>
      <c r="DR43" s="31"/>
      <c r="DS43" s="31"/>
      <c r="DT43" s="31"/>
      <c r="DU43" s="31"/>
      <c r="DV43" s="31"/>
      <c r="DW43" s="31"/>
      <c r="DX43" s="31"/>
      <c r="DY43" s="31"/>
      <c r="DZ43" s="31"/>
      <c r="EA43" s="31"/>
      <c r="EB43" s="31"/>
      <c r="EC43" s="31"/>
      <c r="ED43" s="31"/>
      <c r="EE43" s="31"/>
      <c r="EF43" s="31"/>
      <c r="EG43" s="31"/>
      <c r="EH43" s="31"/>
      <c r="EI43" s="31"/>
      <c r="EJ43" s="31"/>
      <c r="EK43" s="31"/>
      <c r="EL43" s="31"/>
      <c r="EM43" s="31"/>
      <c r="EN43" s="31"/>
      <c r="EO43" s="31"/>
      <c r="EP43" s="31"/>
      <c r="EQ43" s="31"/>
      <c r="ER43" s="31"/>
      <c r="ES43" s="31"/>
      <c r="ET43" s="31"/>
      <c r="EU43" s="31"/>
      <c r="EV43" s="31"/>
      <c r="EW43" s="31"/>
      <c r="EX43" s="31"/>
      <c r="EY43" s="31"/>
      <c r="EZ43" s="31"/>
      <c r="FA43" s="31"/>
      <c r="FB43" s="31"/>
      <c r="FC43" s="31"/>
      <c r="FD43" s="31"/>
      <c r="FE43" s="31"/>
      <c r="FF43" s="31"/>
      <c r="FG43" s="31"/>
      <c r="FH43" s="31"/>
      <c r="FI43" s="31"/>
      <c r="FJ43" s="31"/>
      <c r="FK43" s="31"/>
      <c r="FL43" s="31"/>
      <c r="FM43" s="31"/>
      <c r="FN43" s="31"/>
      <c r="FO43" s="31"/>
      <c r="FP43" s="31"/>
      <c r="FQ43" s="31"/>
      <c r="FR43" s="31"/>
      <c r="FS43" s="31"/>
      <c r="FT43" s="31"/>
      <c r="FU43" s="31"/>
      <c r="FV43" s="31"/>
      <c r="FW43" s="31"/>
      <c r="FX43" s="31"/>
      <c r="FY43" s="31"/>
      <c r="FZ43" s="31"/>
      <c r="GA43" s="31"/>
      <c r="GB43" s="31"/>
      <c r="GC43" s="31"/>
      <c r="GD43" s="31"/>
      <c r="GE43" s="31"/>
      <c r="GF43" s="31"/>
      <c r="GG43" s="31"/>
      <c r="GH43" s="31"/>
      <c r="GI43" s="31"/>
      <c r="GJ43" s="31"/>
      <c r="GK43" s="31"/>
      <c r="GL43" s="31"/>
      <c r="GM43" s="31"/>
      <c r="GN43" s="31"/>
      <c r="GO43" s="31"/>
      <c r="GP43" s="31"/>
      <c r="GQ43" s="31"/>
      <c r="GR43" s="31"/>
      <c r="GS43" s="31"/>
      <c r="GT43" s="31"/>
      <c r="GU43" s="31"/>
      <c r="GV43" s="31"/>
      <c r="GW43" s="31"/>
      <c r="GX43" s="31"/>
      <c r="GY43" s="31"/>
      <c r="GZ43" s="31"/>
      <c r="HA43" s="31"/>
      <c r="HB43" s="31"/>
      <c r="HC43" s="31"/>
      <c r="HD43" s="31"/>
      <c r="HE43" s="31"/>
      <c r="HF43" s="31"/>
      <c r="HG43" s="31"/>
      <c r="HH43" s="31"/>
      <c r="HI43" s="31"/>
      <c r="HJ43" s="31"/>
      <c r="HK43" s="31"/>
      <c r="HL43" s="31"/>
      <c r="HM43" s="31"/>
      <c r="HN43" s="31"/>
      <c r="HO43" s="31"/>
      <c r="HP43" s="31"/>
      <c r="HQ43" s="31"/>
      <c r="HR43" s="31"/>
      <c r="HS43" s="31"/>
      <c r="HT43" s="31"/>
      <c r="HU43" s="31"/>
      <c r="HV43" s="31"/>
      <c r="HW43" s="31"/>
      <c r="HX43" s="31"/>
      <c r="HY43" s="31"/>
      <c r="HZ43" s="31"/>
      <c r="IA43" s="31"/>
      <c r="IB43" s="31"/>
      <c r="IC43" s="31"/>
      <c r="ID43" s="31"/>
      <c r="IE43" s="31"/>
      <c r="IF43" s="31"/>
      <c r="IG43" s="31"/>
      <c r="IH43" s="31"/>
      <c r="II43" s="31"/>
      <c r="IJ43" s="31"/>
      <c r="IK43" s="31"/>
      <c r="IL43" s="31"/>
      <c r="IM43" s="31"/>
      <c r="IN43" s="31"/>
      <c r="IO43" s="31"/>
      <c r="IP43" s="31"/>
      <c r="IQ43" s="31"/>
      <c r="IR43" s="31"/>
      <c r="IS43" s="31"/>
      <c r="IT43" s="31"/>
      <c r="IU43" s="31"/>
      <c r="IV43" s="31"/>
      <c r="IW43" s="31"/>
      <c r="IX43" s="31"/>
      <c r="IY43" s="31"/>
      <c r="IZ43" s="31"/>
      <c r="JA43" s="31"/>
      <c r="JB43" s="31"/>
      <c r="JC43" s="31"/>
      <c r="JD43" s="31"/>
      <c r="JE43" s="31"/>
      <c r="JF43" s="31"/>
      <c r="JG43" s="31"/>
      <c r="JH43" s="31"/>
      <c r="JI43" s="31"/>
      <c r="JJ43" s="31"/>
      <c r="JK43" s="31"/>
      <c r="JL43" s="31"/>
      <c r="JM43" s="31"/>
      <c r="JN43" s="31"/>
      <c r="JO43" s="31"/>
      <c r="JP43" s="31"/>
      <c r="JQ43" s="31"/>
      <c r="JR43" s="31"/>
      <c r="JS43" s="31"/>
      <c r="JT43" s="31"/>
      <c r="JU43" s="31"/>
      <c r="JV43" s="31"/>
      <c r="JW43" s="31"/>
      <c r="JX43" s="31"/>
      <c r="JY43" s="31"/>
      <c r="JZ43" s="31"/>
      <c r="KA43" s="31"/>
      <c r="KB43" s="31"/>
      <c r="KC43" s="31"/>
      <c r="KD43" s="31"/>
      <c r="KE43" s="31"/>
      <c r="KF43" s="31"/>
      <c r="KG43" s="31"/>
      <c r="KH43" s="31"/>
      <c r="KI43" s="31"/>
      <c r="KJ43" s="31"/>
      <c r="KK43" s="31"/>
      <c r="KL43" s="31"/>
      <c r="KM43" s="31"/>
      <c r="KN43" s="31"/>
      <c r="KO43" s="31"/>
      <c r="KP43" s="31"/>
      <c r="KQ43" s="31"/>
      <c r="KR43" s="31"/>
      <c r="KS43" s="31"/>
      <c r="KT43" s="31"/>
      <c r="KU43" s="31"/>
      <c r="KV43" s="31"/>
      <c r="KW43" s="31"/>
      <c r="KX43" s="31"/>
      <c r="KY43" s="31"/>
      <c r="KZ43" s="31"/>
      <c r="LA43" s="31"/>
      <c r="LB43" s="31"/>
      <c r="LC43" s="31"/>
      <c r="LD43" s="31"/>
      <c r="LE43" s="31"/>
      <c r="LF43" s="31"/>
      <c r="LG43" s="31"/>
      <c r="LH43" s="31"/>
      <c r="LI43" s="31"/>
      <c r="LJ43" s="31"/>
      <c r="LK43" s="31"/>
      <c r="LL43" s="31"/>
      <c r="LM43" s="31"/>
      <c r="LN43" s="31"/>
      <c r="LO43" s="31"/>
      <c r="LP43" s="31"/>
      <c r="LQ43" s="31"/>
      <c r="LR43" s="31"/>
      <c r="LS43" s="31"/>
      <c r="LT43" s="31"/>
      <c r="LU43" s="31"/>
      <c r="LV43" s="31"/>
      <c r="LW43" s="31"/>
      <c r="LX43" s="31"/>
      <c r="LY43" s="31"/>
      <c r="LZ43" s="31"/>
      <c r="MA43" s="31"/>
      <c r="MB43" s="31"/>
      <c r="MC43" s="31"/>
      <c r="MD43" s="31"/>
      <c r="ME43" s="31"/>
      <c r="MF43" s="31"/>
      <c r="MG43" s="31"/>
      <c r="MH43" s="31"/>
      <c r="MI43" s="31"/>
      <c r="MJ43" s="31"/>
      <c r="MK43" s="31"/>
      <c r="ML43" s="31"/>
      <c r="MM43" s="31"/>
      <c r="MN43" s="31"/>
      <c r="MO43" s="31"/>
      <c r="MP43" s="31"/>
      <c r="MQ43" s="31"/>
      <c r="MR43" s="31"/>
      <c r="MS43" s="31"/>
      <c r="MT43" s="31"/>
      <c r="MU43" s="31"/>
      <c r="MV43" s="31"/>
      <c r="MW43" s="31"/>
      <c r="MX43" s="31"/>
      <c r="MY43" s="31"/>
      <c r="MZ43" s="31"/>
      <c r="NA43" s="31"/>
      <c r="NB43" s="31"/>
      <c r="NC43" s="31"/>
      <c r="ND43" s="31"/>
      <c r="NE43" s="31"/>
      <c r="NF43" s="31"/>
      <c r="NG43" s="31"/>
      <c r="NH43" s="31"/>
      <c r="NI43" s="31"/>
      <c r="NJ43" s="31"/>
      <c r="NK43" s="31"/>
      <c r="NL43" s="31"/>
      <c r="NM43" s="31"/>
      <c r="NN43" s="31"/>
      <c r="NO43" s="31"/>
      <c r="NP43" s="31"/>
      <c r="NQ43" s="31"/>
      <c r="NR43" s="31"/>
      <c r="NS43" s="31"/>
      <c r="NT43" s="31"/>
      <c r="NU43" s="31"/>
      <c r="NV43" s="31"/>
      <c r="NW43" s="31"/>
      <c r="NX43" s="31"/>
      <c r="NY43" s="31"/>
      <c r="NZ43" s="31"/>
      <c r="OA43" s="31"/>
      <c r="OB43" s="31"/>
      <c r="OC43" s="31"/>
      <c r="OD43" s="31"/>
      <c r="OE43" s="31"/>
      <c r="OF43" s="31"/>
      <c r="OG43" s="31"/>
      <c r="OH43" s="31"/>
      <c r="OI43" s="31"/>
      <c r="OJ43" s="31"/>
      <c r="OK43" s="31"/>
      <c r="OL43" s="31"/>
      <c r="OM43" s="31"/>
      <c r="ON43" s="31"/>
      <c r="OO43" s="31"/>
      <c r="OP43" s="31"/>
      <c r="OQ43" s="31"/>
      <c r="OR43" s="31"/>
      <c r="OS43" s="31"/>
      <c r="OT43" s="31"/>
      <c r="OU43" s="31"/>
      <c r="OV43" s="31"/>
      <c r="OW43" s="31"/>
      <c r="OX43" s="31"/>
      <c r="OY43" s="31"/>
      <c r="OZ43" s="31"/>
      <c r="PA43" s="31"/>
      <c r="PB43" s="31"/>
      <c r="PC43" s="31"/>
      <c r="PD43" s="31"/>
      <c r="PE43" s="31"/>
      <c r="PF43" s="31"/>
      <c r="PG43" s="31"/>
      <c r="PH43" s="31"/>
      <c r="PI43" s="31"/>
      <c r="PJ43" s="31"/>
      <c r="PK43" s="31"/>
      <c r="PL43" s="31"/>
      <c r="PM43" s="31"/>
      <c r="PN43" s="31"/>
      <c r="PO43" s="31"/>
      <c r="PP43" s="31"/>
      <c r="PQ43" s="31"/>
      <c r="PR43" s="31"/>
      <c r="PS43" s="31"/>
      <c r="PT43" s="31"/>
      <c r="PU43" s="31"/>
      <c r="PV43" s="31"/>
      <c r="PW43" s="31"/>
      <c r="PX43" s="31"/>
      <c r="PY43" s="31"/>
      <c r="PZ43" s="31"/>
      <c r="QA43" s="31"/>
      <c r="QB43" s="31"/>
      <c r="QC43" s="31"/>
      <c r="QD43" s="31"/>
      <c r="QE43" s="31"/>
      <c r="QF43" s="31"/>
      <c r="QG43" s="31"/>
      <c r="QH43" s="31"/>
      <c r="QI43" s="31"/>
      <c r="QJ43" s="31"/>
      <c r="QK43" s="31"/>
      <c r="QL43" s="31"/>
      <c r="QM43" s="31"/>
      <c r="QN43" s="31"/>
      <c r="QO43" s="31"/>
      <c r="QP43" s="31"/>
      <c r="QQ43" s="31"/>
      <c r="QR43" s="31"/>
      <c r="QS43" s="31"/>
      <c r="QT43" s="31"/>
      <c r="QU43" s="31"/>
      <c r="QV43" s="31"/>
      <c r="QW43" s="31"/>
      <c r="QX43" s="31"/>
      <c r="QY43" s="31"/>
      <c r="QZ43" s="31"/>
      <c r="RA43" s="31"/>
      <c r="RB43" s="31"/>
      <c r="RC43" s="31"/>
      <c r="RD43" s="31"/>
      <c r="RE43" s="31"/>
      <c r="RF43" s="31"/>
      <c r="RG43" s="31"/>
      <c r="RH43" s="31"/>
      <c r="RI43" s="31"/>
      <c r="RJ43" s="31"/>
      <c r="RK43" s="31"/>
      <c r="RL43" s="31"/>
      <c r="RM43" s="31"/>
      <c r="RN43" s="31"/>
      <c r="RO43" s="31"/>
      <c r="RP43" s="31"/>
      <c r="RQ43" s="31"/>
      <c r="RR43" s="31"/>
      <c r="RS43" s="31"/>
      <c r="RT43" s="31"/>
      <c r="RU43" s="31"/>
      <c r="RV43" s="31"/>
      <c r="RW43" s="31"/>
      <c r="RX43" s="31"/>
      <c r="RY43" s="31"/>
      <c r="RZ43" s="31"/>
      <c r="SA43" s="31"/>
      <c r="SB43" s="31"/>
      <c r="SC43" s="31"/>
      <c r="SD43" s="31"/>
      <c r="SE43" s="31"/>
      <c r="SF43" s="31"/>
      <c r="SG43" s="31"/>
      <c r="SH43" s="31"/>
      <c r="SI43" s="31"/>
      <c r="SJ43" s="82"/>
      <c r="SK43" s="6"/>
    </row>
    <row r="44" ht="14.25" customHeight="1">
      <c r="A44" s="80" t="s">
        <v>567</v>
      </c>
      <c r="B44" s="30" t="s">
        <v>604</v>
      </c>
      <c r="C44" s="81"/>
      <c r="D44" s="74">
        <f t="shared" si="4"/>
        <v>10238</v>
      </c>
      <c r="E44" s="78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83">
        <v>39.0</v>
      </c>
      <c r="AB44" s="83"/>
      <c r="AC44" s="31"/>
      <c r="AD44" s="31"/>
      <c r="AE44" s="31"/>
      <c r="AF44" s="31"/>
      <c r="AG44" s="31"/>
      <c r="AH44" s="31"/>
      <c r="AI44" s="83">
        <v>9000.0</v>
      </c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83">
        <v>1199.0</v>
      </c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  <c r="CW44" s="31"/>
      <c r="CX44" s="31"/>
      <c r="CY44" s="31"/>
      <c r="CZ44" s="31"/>
      <c r="DA44" s="31"/>
      <c r="DB44" s="31"/>
      <c r="DC44" s="31"/>
      <c r="DD44" s="31"/>
      <c r="DE44" s="31"/>
      <c r="DF44" s="31"/>
      <c r="DG44" s="31"/>
      <c r="DH44" s="31"/>
      <c r="DI44" s="31"/>
      <c r="DJ44" s="31"/>
      <c r="DK44" s="31"/>
      <c r="DL44" s="31"/>
      <c r="DM44" s="31"/>
      <c r="DN44" s="31"/>
      <c r="DO44" s="31"/>
      <c r="DP44" s="31"/>
      <c r="DQ44" s="31"/>
      <c r="DR44" s="31"/>
      <c r="DS44" s="31"/>
      <c r="DT44" s="31"/>
      <c r="DU44" s="31"/>
      <c r="DV44" s="31"/>
      <c r="DW44" s="31"/>
      <c r="DX44" s="31"/>
      <c r="DY44" s="31"/>
      <c r="DZ44" s="31"/>
      <c r="EA44" s="31"/>
      <c r="EB44" s="31"/>
      <c r="EC44" s="31"/>
      <c r="ED44" s="31"/>
      <c r="EE44" s="31"/>
      <c r="EF44" s="31"/>
      <c r="EG44" s="31"/>
      <c r="EH44" s="31"/>
      <c r="EI44" s="31"/>
      <c r="EJ44" s="31"/>
      <c r="EK44" s="31"/>
      <c r="EL44" s="31"/>
      <c r="EM44" s="31"/>
      <c r="EN44" s="31"/>
      <c r="EO44" s="31"/>
      <c r="EP44" s="31"/>
      <c r="EQ44" s="31"/>
      <c r="ER44" s="31"/>
      <c r="ES44" s="31"/>
      <c r="ET44" s="31"/>
      <c r="EU44" s="31"/>
      <c r="EV44" s="31"/>
      <c r="EW44" s="31"/>
      <c r="EX44" s="31"/>
      <c r="EY44" s="31"/>
      <c r="EZ44" s="31"/>
      <c r="FA44" s="31"/>
      <c r="FB44" s="31"/>
      <c r="FC44" s="31"/>
      <c r="FD44" s="31"/>
      <c r="FE44" s="31"/>
      <c r="FF44" s="31"/>
      <c r="FG44" s="31"/>
      <c r="FH44" s="31"/>
      <c r="FI44" s="31"/>
      <c r="FJ44" s="31"/>
      <c r="FK44" s="31"/>
      <c r="FL44" s="31"/>
      <c r="FM44" s="31"/>
      <c r="FN44" s="31"/>
      <c r="FO44" s="31"/>
      <c r="FP44" s="31"/>
      <c r="FQ44" s="31"/>
      <c r="FR44" s="31"/>
      <c r="FS44" s="31"/>
      <c r="FT44" s="31"/>
      <c r="FU44" s="31"/>
      <c r="FV44" s="31"/>
      <c r="FW44" s="31"/>
      <c r="FX44" s="31"/>
      <c r="FY44" s="31"/>
      <c r="FZ44" s="31"/>
      <c r="GA44" s="31"/>
      <c r="GB44" s="31"/>
      <c r="GC44" s="31"/>
      <c r="GD44" s="31"/>
      <c r="GE44" s="31"/>
      <c r="GF44" s="31"/>
      <c r="GG44" s="31"/>
      <c r="GH44" s="31"/>
      <c r="GI44" s="31"/>
      <c r="GJ44" s="31"/>
      <c r="GK44" s="31"/>
      <c r="GL44" s="31"/>
      <c r="GM44" s="31"/>
      <c r="GN44" s="31"/>
      <c r="GO44" s="31"/>
      <c r="GP44" s="31"/>
      <c r="GQ44" s="31"/>
      <c r="GR44" s="31"/>
      <c r="GS44" s="31"/>
      <c r="GT44" s="31"/>
      <c r="GU44" s="31"/>
      <c r="GV44" s="31"/>
      <c r="GW44" s="31"/>
      <c r="GX44" s="31"/>
      <c r="GY44" s="31"/>
      <c r="GZ44" s="31"/>
      <c r="HA44" s="31"/>
      <c r="HB44" s="31"/>
      <c r="HC44" s="31"/>
      <c r="HD44" s="31"/>
      <c r="HE44" s="31"/>
      <c r="HF44" s="31"/>
      <c r="HG44" s="31"/>
      <c r="HH44" s="31"/>
      <c r="HI44" s="31"/>
      <c r="HJ44" s="31"/>
      <c r="HK44" s="31"/>
      <c r="HL44" s="31"/>
      <c r="HM44" s="31"/>
      <c r="HN44" s="31"/>
      <c r="HO44" s="31"/>
      <c r="HP44" s="31"/>
      <c r="HQ44" s="31"/>
      <c r="HR44" s="31"/>
      <c r="HS44" s="31"/>
      <c r="HT44" s="31"/>
      <c r="HU44" s="31"/>
      <c r="HV44" s="31"/>
      <c r="HW44" s="31"/>
      <c r="HX44" s="31"/>
      <c r="HY44" s="31"/>
      <c r="HZ44" s="31"/>
      <c r="IA44" s="31"/>
      <c r="IB44" s="31"/>
      <c r="IC44" s="31"/>
      <c r="ID44" s="31"/>
      <c r="IE44" s="31"/>
      <c r="IF44" s="31"/>
      <c r="IG44" s="31"/>
      <c r="IH44" s="31"/>
      <c r="II44" s="31"/>
      <c r="IJ44" s="31"/>
      <c r="IK44" s="31"/>
      <c r="IL44" s="31"/>
      <c r="IM44" s="31"/>
      <c r="IN44" s="31"/>
      <c r="IO44" s="31"/>
      <c r="IP44" s="31"/>
      <c r="IQ44" s="31"/>
      <c r="IR44" s="31"/>
      <c r="IS44" s="31"/>
      <c r="IT44" s="31"/>
      <c r="IU44" s="31"/>
      <c r="IV44" s="31"/>
      <c r="IW44" s="31"/>
      <c r="IX44" s="31"/>
      <c r="IY44" s="31"/>
      <c r="IZ44" s="31"/>
      <c r="JA44" s="31"/>
      <c r="JB44" s="31"/>
      <c r="JC44" s="31"/>
      <c r="JD44" s="31"/>
      <c r="JE44" s="31"/>
      <c r="JF44" s="31"/>
      <c r="JG44" s="31"/>
      <c r="JH44" s="31"/>
      <c r="JI44" s="31"/>
      <c r="JJ44" s="31"/>
      <c r="JK44" s="31"/>
      <c r="JL44" s="31"/>
      <c r="JM44" s="31"/>
      <c r="JN44" s="31"/>
      <c r="JO44" s="31"/>
      <c r="JP44" s="31"/>
      <c r="JQ44" s="31"/>
      <c r="JR44" s="31"/>
      <c r="JS44" s="31"/>
      <c r="JT44" s="31"/>
      <c r="JU44" s="31"/>
      <c r="JV44" s="31"/>
      <c r="JW44" s="31"/>
      <c r="JX44" s="31"/>
      <c r="JY44" s="31"/>
      <c r="JZ44" s="31"/>
      <c r="KA44" s="31"/>
      <c r="KB44" s="31"/>
      <c r="KC44" s="31"/>
      <c r="KD44" s="31"/>
      <c r="KE44" s="31"/>
      <c r="KF44" s="31"/>
      <c r="KG44" s="31"/>
      <c r="KH44" s="31"/>
      <c r="KI44" s="31"/>
      <c r="KJ44" s="31"/>
      <c r="KK44" s="31"/>
      <c r="KL44" s="31"/>
      <c r="KM44" s="31"/>
      <c r="KN44" s="31"/>
      <c r="KO44" s="31"/>
      <c r="KP44" s="31"/>
      <c r="KQ44" s="31"/>
      <c r="KR44" s="31"/>
      <c r="KS44" s="31"/>
      <c r="KT44" s="31"/>
      <c r="KU44" s="31"/>
      <c r="KV44" s="31"/>
      <c r="KW44" s="31"/>
      <c r="KX44" s="31"/>
      <c r="KY44" s="31"/>
      <c r="KZ44" s="31"/>
      <c r="LA44" s="31"/>
      <c r="LB44" s="31"/>
      <c r="LC44" s="31"/>
      <c r="LD44" s="31"/>
      <c r="LE44" s="31"/>
      <c r="LF44" s="31"/>
      <c r="LG44" s="31"/>
      <c r="LH44" s="31"/>
      <c r="LI44" s="31"/>
      <c r="LJ44" s="31"/>
      <c r="LK44" s="31"/>
      <c r="LL44" s="31"/>
      <c r="LM44" s="31"/>
      <c r="LN44" s="31"/>
      <c r="LO44" s="31"/>
      <c r="LP44" s="31"/>
      <c r="LQ44" s="31"/>
      <c r="LR44" s="31"/>
      <c r="LS44" s="31"/>
      <c r="LT44" s="31"/>
      <c r="LU44" s="31"/>
      <c r="LV44" s="31"/>
      <c r="LW44" s="31"/>
      <c r="LX44" s="31"/>
      <c r="LY44" s="31"/>
      <c r="LZ44" s="31"/>
      <c r="MA44" s="31"/>
      <c r="MB44" s="31"/>
      <c r="MC44" s="31"/>
      <c r="MD44" s="31"/>
      <c r="ME44" s="31"/>
      <c r="MF44" s="31"/>
      <c r="MG44" s="31"/>
      <c r="MH44" s="31"/>
      <c r="MI44" s="31"/>
      <c r="MJ44" s="31"/>
      <c r="MK44" s="31"/>
      <c r="ML44" s="31"/>
      <c r="MM44" s="31"/>
      <c r="MN44" s="31"/>
      <c r="MO44" s="31"/>
      <c r="MP44" s="31"/>
      <c r="MQ44" s="31"/>
      <c r="MR44" s="31"/>
      <c r="MS44" s="31"/>
      <c r="MT44" s="31"/>
      <c r="MU44" s="31"/>
      <c r="MV44" s="31"/>
      <c r="MW44" s="31"/>
      <c r="MX44" s="31"/>
      <c r="MY44" s="31"/>
      <c r="MZ44" s="31"/>
      <c r="NA44" s="31"/>
      <c r="NB44" s="31"/>
      <c r="NC44" s="31"/>
      <c r="ND44" s="31"/>
      <c r="NE44" s="31"/>
      <c r="NF44" s="31"/>
      <c r="NG44" s="31"/>
      <c r="NH44" s="31"/>
      <c r="NI44" s="31"/>
      <c r="NJ44" s="31"/>
      <c r="NK44" s="31"/>
      <c r="NL44" s="31"/>
      <c r="NM44" s="31"/>
      <c r="NN44" s="31"/>
      <c r="NO44" s="31"/>
      <c r="NP44" s="31"/>
      <c r="NQ44" s="31"/>
      <c r="NR44" s="31"/>
      <c r="NS44" s="31"/>
      <c r="NT44" s="31"/>
      <c r="NU44" s="31"/>
      <c r="NV44" s="31"/>
      <c r="NW44" s="31"/>
      <c r="NX44" s="31"/>
      <c r="NY44" s="31"/>
      <c r="NZ44" s="31"/>
      <c r="OA44" s="31"/>
      <c r="OB44" s="31"/>
      <c r="OC44" s="31"/>
      <c r="OD44" s="31"/>
      <c r="OE44" s="31"/>
      <c r="OF44" s="31"/>
      <c r="OG44" s="31"/>
      <c r="OH44" s="31"/>
      <c r="OI44" s="31"/>
      <c r="OJ44" s="31"/>
      <c r="OK44" s="31"/>
      <c r="OL44" s="31"/>
      <c r="OM44" s="31"/>
      <c r="ON44" s="31"/>
      <c r="OO44" s="31"/>
      <c r="OP44" s="31"/>
      <c r="OQ44" s="31"/>
      <c r="OR44" s="31"/>
      <c r="OS44" s="31"/>
      <c r="OT44" s="31"/>
      <c r="OU44" s="31"/>
      <c r="OV44" s="31"/>
      <c r="OW44" s="31"/>
      <c r="OX44" s="31"/>
      <c r="OY44" s="31"/>
      <c r="OZ44" s="31"/>
      <c r="PA44" s="31"/>
      <c r="PB44" s="31"/>
      <c r="PC44" s="31"/>
      <c r="PD44" s="31"/>
      <c r="PE44" s="31"/>
      <c r="PF44" s="31"/>
      <c r="PG44" s="31"/>
      <c r="PH44" s="31"/>
      <c r="PI44" s="31"/>
      <c r="PJ44" s="31"/>
      <c r="PK44" s="31"/>
      <c r="PL44" s="31"/>
      <c r="PM44" s="31"/>
      <c r="PN44" s="31"/>
      <c r="PO44" s="31"/>
      <c r="PP44" s="31"/>
      <c r="PQ44" s="31"/>
      <c r="PR44" s="31"/>
      <c r="PS44" s="31"/>
      <c r="PT44" s="31"/>
      <c r="PU44" s="31"/>
      <c r="PV44" s="31"/>
      <c r="PW44" s="31"/>
      <c r="PX44" s="31"/>
      <c r="PY44" s="31"/>
      <c r="PZ44" s="31"/>
      <c r="QA44" s="31"/>
      <c r="QB44" s="31"/>
      <c r="QC44" s="31"/>
      <c r="QD44" s="31"/>
      <c r="QE44" s="31"/>
      <c r="QF44" s="31"/>
      <c r="QG44" s="31"/>
      <c r="QH44" s="31"/>
      <c r="QI44" s="31"/>
      <c r="QJ44" s="31"/>
      <c r="QK44" s="31"/>
      <c r="QL44" s="31"/>
      <c r="QM44" s="31"/>
      <c r="QN44" s="31"/>
      <c r="QO44" s="31"/>
      <c r="QP44" s="31"/>
      <c r="QQ44" s="31"/>
      <c r="QR44" s="31"/>
      <c r="QS44" s="31"/>
      <c r="QT44" s="31"/>
      <c r="QU44" s="31"/>
      <c r="QV44" s="31"/>
      <c r="QW44" s="31"/>
      <c r="QX44" s="31"/>
      <c r="QY44" s="31"/>
      <c r="QZ44" s="31"/>
      <c r="RA44" s="31"/>
      <c r="RB44" s="31"/>
      <c r="RC44" s="31"/>
      <c r="RD44" s="31"/>
      <c r="RE44" s="31"/>
      <c r="RF44" s="31"/>
      <c r="RG44" s="31"/>
      <c r="RH44" s="31"/>
      <c r="RI44" s="31"/>
      <c r="RJ44" s="31"/>
      <c r="RK44" s="31"/>
      <c r="RL44" s="31"/>
      <c r="RM44" s="31"/>
      <c r="RN44" s="31"/>
      <c r="RO44" s="31"/>
      <c r="RP44" s="31"/>
      <c r="RQ44" s="31"/>
      <c r="RR44" s="31"/>
      <c r="RS44" s="31"/>
      <c r="RT44" s="31"/>
      <c r="RU44" s="31"/>
      <c r="RV44" s="31"/>
      <c r="RW44" s="31"/>
      <c r="RX44" s="31"/>
      <c r="RY44" s="31"/>
      <c r="RZ44" s="31"/>
      <c r="SA44" s="31"/>
      <c r="SB44" s="31"/>
      <c r="SC44" s="31"/>
      <c r="SD44" s="78"/>
      <c r="SE44" s="31"/>
      <c r="SF44" s="31"/>
      <c r="SG44" s="31"/>
      <c r="SH44" s="31"/>
      <c r="SI44" s="31"/>
      <c r="SJ44" s="82"/>
      <c r="SK44" s="6"/>
    </row>
    <row r="45" ht="14.25" customHeight="1">
      <c r="A45" s="80" t="s">
        <v>567</v>
      </c>
      <c r="B45" s="30" t="s">
        <v>605</v>
      </c>
      <c r="C45" s="81"/>
      <c r="D45" s="74">
        <f t="shared" si="4"/>
        <v>4520.44</v>
      </c>
      <c r="E45" s="78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83">
        <v>4520.44</v>
      </c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83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 s="31"/>
      <c r="ER45" s="31"/>
      <c r="ES45" s="31"/>
      <c r="ET45" s="31"/>
      <c r="EU45" s="31"/>
      <c r="EV45" s="31"/>
      <c r="EW45" s="31"/>
      <c r="EX45" s="31"/>
      <c r="EY45" s="31"/>
      <c r="EZ45" s="31"/>
      <c r="FA45" s="31"/>
      <c r="FB45" s="31"/>
      <c r="FC45" s="31"/>
      <c r="FD45" s="31"/>
      <c r="FE45" s="31"/>
      <c r="FF45" s="31"/>
      <c r="FG45" s="31"/>
      <c r="FH45" s="31"/>
      <c r="FI45" s="31"/>
      <c r="FJ45" s="31"/>
      <c r="FK45" s="31"/>
      <c r="FL45" s="31"/>
      <c r="FM45" s="31"/>
      <c r="FN45" s="31"/>
      <c r="FO45" s="31"/>
      <c r="FP45" s="31"/>
      <c r="FQ45" s="31"/>
      <c r="FR45" s="31"/>
      <c r="FS45" s="31"/>
      <c r="FT45" s="31"/>
      <c r="FU45" s="31"/>
      <c r="FV45" s="31"/>
      <c r="FW45" s="31"/>
      <c r="FX45" s="31"/>
      <c r="FY45" s="31"/>
      <c r="FZ45" s="31"/>
      <c r="GA45" s="31"/>
      <c r="GB45" s="31"/>
      <c r="GC45" s="31"/>
      <c r="GD45" s="31"/>
      <c r="GE45" s="31"/>
      <c r="GF45" s="31"/>
      <c r="GG45" s="31"/>
      <c r="GH45" s="31"/>
      <c r="GI45" s="31"/>
      <c r="GJ45" s="31"/>
      <c r="GK45" s="31"/>
      <c r="GL45" s="31"/>
      <c r="GM45" s="31"/>
      <c r="GN45" s="31"/>
      <c r="GO45" s="31"/>
      <c r="GP45" s="31"/>
      <c r="GQ45" s="31"/>
      <c r="GR45" s="31"/>
      <c r="GS45" s="31"/>
      <c r="GT45" s="31"/>
      <c r="GU45" s="31"/>
      <c r="GV45" s="31"/>
      <c r="GW45" s="31"/>
      <c r="GX45" s="31"/>
      <c r="GY45" s="31"/>
      <c r="GZ45" s="31"/>
      <c r="HA45" s="31"/>
      <c r="HB45" s="31"/>
      <c r="HC45" s="31"/>
      <c r="HD45" s="31"/>
      <c r="HE45" s="31"/>
      <c r="HF45" s="31"/>
      <c r="HG45" s="31"/>
      <c r="HH45" s="31"/>
      <c r="HI45" s="31"/>
      <c r="HJ45" s="31"/>
      <c r="HK45" s="31"/>
      <c r="HL45" s="31"/>
      <c r="HM45" s="31"/>
      <c r="HN45" s="31"/>
      <c r="HO45" s="31"/>
      <c r="HP45" s="31"/>
      <c r="HQ45" s="31"/>
      <c r="HR45" s="31"/>
      <c r="HS45" s="31"/>
      <c r="HT45" s="31"/>
      <c r="HU45" s="31"/>
      <c r="HV45" s="31"/>
      <c r="HW45" s="31"/>
      <c r="HX45" s="31"/>
      <c r="HY45" s="31"/>
      <c r="HZ45" s="31"/>
      <c r="IA45" s="31"/>
      <c r="IB45" s="31"/>
      <c r="IC45" s="31"/>
      <c r="ID45" s="31"/>
      <c r="IE45" s="31"/>
      <c r="IF45" s="31"/>
      <c r="IG45" s="31"/>
      <c r="IH45" s="31"/>
      <c r="II45" s="31"/>
      <c r="IJ45" s="31"/>
      <c r="IK45" s="31"/>
      <c r="IL45" s="31"/>
      <c r="IM45" s="31"/>
      <c r="IN45" s="31"/>
      <c r="IO45" s="31"/>
      <c r="IP45" s="31"/>
      <c r="IQ45" s="31"/>
      <c r="IR45" s="31"/>
      <c r="IS45" s="31"/>
      <c r="IT45" s="31"/>
      <c r="IU45" s="31"/>
      <c r="IV45" s="31"/>
      <c r="IW45" s="31"/>
      <c r="IX45" s="31"/>
      <c r="IY45" s="31"/>
      <c r="IZ45" s="31"/>
      <c r="JA45" s="31"/>
      <c r="JB45" s="31"/>
      <c r="JC45" s="31"/>
      <c r="JD45" s="31"/>
      <c r="JE45" s="31"/>
      <c r="JF45" s="31"/>
      <c r="JG45" s="31"/>
      <c r="JH45" s="31"/>
      <c r="JI45" s="31"/>
      <c r="JJ45" s="31"/>
      <c r="JK45" s="31"/>
      <c r="JL45" s="31"/>
      <c r="JM45" s="31"/>
      <c r="JN45" s="31"/>
      <c r="JO45" s="31"/>
      <c r="JP45" s="31"/>
      <c r="JQ45" s="31"/>
      <c r="JR45" s="31"/>
      <c r="JS45" s="31"/>
      <c r="JT45" s="31"/>
      <c r="JU45" s="31"/>
      <c r="JV45" s="31"/>
      <c r="JW45" s="31"/>
      <c r="JX45" s="31"/>
      <c r="JY45" s="31"/>
      <c r="JZ45" s="31"/>
      <c r="KA45" s="31"/>
      <c r="KB45" s="31"/>
      <c r="KC45" s="31"/>
      <c r="KD45" s="31"/>
      <c r="KE45" s="31"/>
      <c r="KF45" s="31"/>
      <c r="KG45" s="31"/>
      <c r="KH45" s="31"/>
      <c r="KI45" s="31"/>
      <c r="KJ45" s="31"/>
      <c r="KK45" s="31"/>
      <c r="KL45" s="31"/>
      <c r="KM45" s="31"/>
      <c r="KN45" s="31"/>
      <c r="KO45" s="31"/>
      <c r="KP45" s="31"/>
      <c r="KQ45" s="31"/>
      <c r="KR45" s="31"/>
      <c r="KS45" s="31"/>
      <c r="KT45" s="31"/>
      <c r="KU45" s="31"/>
      <c r="KV45" s="31"/>
      <c r="KW45" s="31"/>
      <c r="KX45" s="31"/>
      <c r="KY45" s="31"/>
      <c r="KZ45" s="31"/>
      <c r="LA45" s="31"/>
      <c r="LB45" s="31"/>
      <c r="LC45" s="31"/>
      <c r="LD45" s="31"/>
      <c r="LE45" s="31"/>
      <c r="LF45" s="31"/>
      <c r="LG45" s="31"/>
      <c r="LH45" s="31"/>
      <c r="LI45" s="31"/>
      <c r="LJ45" s="31"/>
      <c r="LK45" s="31"/>
      <c r="LL45" s="31"/>
      <c r="LM45" s="31"/>
      <c r="LN45" s="31"/>
      <c r="LO45" s="31"/>
      <c r="LP45" s="31"/>
      <c r="LQ45" s="31"/>
      <c r="LR45" s="31"/>
      <c r="LS45" s="31"/>
      <c r="LT45" s="31"/>
      <c r="LU45" s="31"/>
      <c r="LV45" s="31"/>
      <c r="LW45" s="31"/>
      <c r="LX45" s="31"/>
      <c r="LY45" s="31"/>
      <c r="LZ45" s="31"/>
      <c r="MA45" s="31"/>
      <c r="MB45" s="31"/>
      <c r="MC45" s="31"/>
      <c r="MD45" s="31"/>
      <c r="ME45" s="31"/>
      <c r="MF45" s="31"/>
      <c r="MG45" s="31"/>
      <c r="MH45" s="31"/>
      <c r="MI45" s="31"/>
      <c r="MJ45" s="31"/>
      <c r="MK45" s="31"/>
      <c r="ML45" s="31"/>
      <c r="MM45" s="31"/>
      <c r="MN45" s="31"/>
      <c r="MO45" s="31"/>
      <c r="MP45" s="31"/>
      <c r="MQ45" s="31"/>
      <c r="MR45" s="31"/>
      <c r="MS45" s="31"/>
      <c r="MT45" s="31"/>
      <c r="MU45" s="31"/>
      <c r="MV45" s="31"/>
      <c r="MW45" s="31"/>
      <c r="MX45" s="31"/>
      <c r="MY45" s="31"/>
      <c r="MZ45" s="31"/>
      <c r="NA45" s="31"/>
      <c r="NB45" s="31"/>
      <c r="NC45" s="31"/>
      <c r="ND45" s="31"/>
      <c r="NE45" s="31"/>
      <c r="NF45" s="31"/>
      <c r="NG45" s="31"/>
      <c r="NH45" s="31"/>
      <c r="NI45" s="31"/>
      <c r="NJ45" s="31"/>
      <c r="NK45" s="31"/>
      <c r="NL45" s="31"/>
      <c r="NM45" s="31"/>
      <c r="NN45" s="31"/>
      <c r="NO45" s="31"/>
      <c r="NP45" s="31"/>
      <c r="NQ45" s="31"/>
      <c r="NR45" s="31"/>
      <c r="NS45" s="31"/>
      <c r="NT45" s="31"/>
      <c r="NU45" s="31"/>
      <c r="NV45" s="31"/>
      <c r="NW45" s="31"/>
      <c r="NX45" s="31"/>
      <c r="NY45" s="31"/>
      <c r="NZ45" s="31"/>
      <c r="OA45" s="31"/>
      <c r="OB45" s="31"/>
      <c r="OC45" s="31"/>
      <c r="OD45" s="31"/>
      <c r="OE45" s="31"/>
      <c r="OF45" s="31"/>
      <c r="OG45" s="31"/>
      <c r="OH45" s="31"/>
      <c r="OI45" s="31"/>
      <c r="OJ45" s="31"/>
      <c r="OK45" s="31"/>
      <c r="OL45" s="31"/>
      <c r="OM45" s="31"/>
      <c r="ON45" s="31"/>
      <c r="OO45" s="31"/>
      <c r="OP45" s="31"/>
      <c r="OQ45" s="31"/>
      <c r="OR45" s="31"/>
      <c r="OS45" s="31"/>
      <c r="OT45" s="31"/>
      <c r="OU45" s="31"/>
      <c r="OV45" s="31"/>
      <c r="OW45" s="31"/>
      <c r="OX45" s="31"/>
      <c r="OY45" s="31"/>
      <c r="OZ45" s="31"/>
      <c r="PA45" s="31"/>
      <c r="PB45" s="31"/>
      <c r="PC45" s="31"/>
      <c r="PD45" s="31"/>
      <c r="PE45" s="31"/>
      <c r="PF45" s="31"/>
      <c r="PG45" s="31"/>
      <c r="PH45" s="31"/>
      <c r="PI45" s="31"/>
      <c r="PJ45" s="31"/>
      <c r="PK45" s="31"/>
      <c r="PL45" s="31"/>
      <c r="PM45" s="31"/>
      <c r="PN45" s="31"/>
      <c r="PO45" s="31"/>
      <c r="PP45" s="31"/>
      <c r="PQ45" s="31"/>
      <c r="PR45" s="31"/>
      <c r="PS45" s="31"/>
      <c r="PT45" s="31"/>
      <c r="PU45" s="31"/>
      <c r="PV45" s="31"/>
      <c r="PW45" s="31"/>
      <c r="PX45" s="31"/>
      <c r="PY45" s="31"/>
      <c r="PZ45" s="31"/>
      <c r="QA45" s="31"/>
      <c r="QB45" s="31"/>
      <c r="QC45" s="31"/>
      <c r="QD45" s="31"/>
      <c r="QE45" s="31"/>
      <c r="QF45" s="31"/>
      <c r="QG45" s="31"/>
      <c r="QH45" s="31"/>
      <c r="QI45" s="31"/>
      <c r="QJ45" s="31"/>
      <c r="QK45" s="31"/>
      <c r="QL45" s="31"/>
      <c r="QM45" s="31"/>
      <c r="QN45" s="31"/>
      <c r="QO45" s="31"/>
      <c r="QP45" s="31"/>
      <c r="QQ45" s="31"/>
      <c r="QR45" s="31"/>
      <c r="QS45" s="31"/>
      <c r="QT45" s="31"/>
      <c r="QU45" s="31"/>
      <c r="QV45" s="31"/>
      <c r="QW45" s="31"/>
      <c r="QX45" s="31"/>
      <c r="QY45" s="31"/>
      <c r="QZ45" s="31"/>
      <c r="RA45" s="31"/>
      <c r="RB45" s="31"/>
      <c r="RC45" s="31"/>
      <c r="RD45" s="31"/>
      <c r="RE45" s="31"/>
      <c r="RF45" s="31"/>
      <c r="RG45" s="31"/>
      <c r="RH45" s="31"/>
      <c r="RI45" s="31"/>
      <c r="RJ45" s="31"/>
      <c r="RK45" s="31"/>
      <c r="RL45" s="31"/>
      <c r="RM45" s="31"/>
      <c r="RN45" s="31"/>
      <c r="RO45" s="31"/>
      <c r="RP45" s="31"/>
      <c r="RQ45" s="31"/>
      <c r="RR45" s="31"/>
      <c r="RS45" s="31"/>
      <c r="RT45" s="31"/>
      <c r="RU45" s="31"/>
      <c r="RV45" s="31"/>
      <c r="RW45" s="31"/>
      <c r="RX45" s="31"/>
      <c r="RY45" s="31"/>
      <c r="RZ45" s="31"/>
      <c r="SA45" s="31"/>
      <c r="SB45" s="31"/>
      <c r="SC45" s="31"/>
      <c r="SD45" s="78"/>
      <c r="SE45" s="31"/>
      <c r="SF45" s="31"/>
      <c r="SG45" s="31"/>
      <c r="SH45" s="31"/>
      <c r="SI45" s="31"/>
      <c r="SJ45" s="82"/>
      <c r="SK45" s="6"/>
    </row>
    <row r="46" ht="14.25" customHeight="1">
      <c r="A46" s="80" t="s">
        <v>567</v>
      </c>
      <c r="B46" s="30" t="s">
        <v>606</v>
      </c>
      <c r="C46" s="81"/>
      <c r="D46" s="74">
        <f t="shared" si="4"/>
        <v>26145.42</v>
      </c>
      <c r="E46" s="78"/>
      <c r="F46" s="31"/>
      <c r="G46" s="31"/>
      <c r="H46" s="31"/>
      <c r="I46" s="31"/>
      <c r="J46" s="83">
        <v>2748.0</v>
      </c>
      <c r="K46" s="83">
        <v>337.4</v>
      </c>
      <c r="L46" s="31"/>
      <c r="M46" s="31"/>
      <c r="N46" s="31"/>
      <c r="O46" s="83">
        <v>298.26</v>
      </c>
      <c r="P46" s="31"/>
      <c r="Q46" s="31"/>
      <c r="R46" s="31"/>
      <c r="S46" s="31"/>
      <c r="T46" s="83">
        <v>548.05</v>
      </c>
      <c r="U46" s="83">
        <v>285.6</v>
      </c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83">
        <v>509.0</v>
      </c>
      <c r="AO46" s="31"/>
      <c r="AP46" s="31"/>
      <c r="AQ46" s="31"/>
      <c r="AR46" s="31"/>
      <c r="AS46" s="31"/>
      <c r="AT46" s="31"/>
      <c r="AU46" s="83">
        <v>494.3</v>
      </c>
      <c r="AV46" s="83">
        <v>597.5</v>
      </c>
      <c r="AW46" s="83">
        <v>145.7</v>
      </c>
      <c r="AX46" s="31"/>
      <c r="AY46" s="31"/>
      <c r="AZ46" s="31"/>
      <c r="BA46" s="31"/>
      <c r="BB46" s="31"/>
      <c r="BC46" s="31"/>
      <c r="BD46" s="31"/>
      <c r="BE46" s="83">
        <v>294.5</v>
      </c>
      <c r="BF46" s="83">
        <v>903.8</v>
      </c>
      <c r="BG46" s="83">
        <v>2514.0</v>
      </c>
      <c r="BH46" s="83">
        <v>129.6</v>
      </c>
      <c r="BI46" s="83">
        <v>4102.9</v>
      </c>
      <c r="BJ46" s="83">
        <v>1134.6</v>
      </c>
      <c r="BK46" s="31"/>
      <c r="BL46" s="31"/>
      <c r="BM46" s="31"/>
      <c r="BN46" s="83">
        <v>4026.9</v>
      </c>
      <c r="BO46" s="31"/>
      <c r="BP46" s="83">
        <v>331.9</v>
      </c>
      <c r="BQ46" s="31"/>
      <c r="BR46" s="31"/>
      <c r="BS46" s="31"/>
      <c r="BT46" s="31"/>
      <c r="BU46" s="31"/>
      <c r="BV46" s="83">
        <v>823.6</v>
      </c>
      <c r="BW46" s="83">
        <v>2531.0</v>
      </c>
      <c r="BX46" s="83">
        <v>1415.0</v>
      </c>
      <c r="BY46" s="31"/>
      <c r="BZ46" s="31"/>
      <c r="CA46" s="31"/>
      <c r="CB46" s="31"/>
      <c r="CC46" s="31"/>
      <c r="CD46" s="83">
        <v>649.5</v>
      </c>
      <c r="CE46" s="83">
        <v>757.51</v>
      </c>
      <c r="CF46" s="31"/>
      <c r="CG46" s="83">
        <v>566.8</v>
      </c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  <c r="CW46" s="31"/>
      <c r="CX46" s="31"/>
      <c r="CY46" s="31"/>
      <c r="CZ46" s="31"/>
      <c r="DA46" s="31"/>
      <c r="DB46" s="31"/>
      <c r="DC46" s="31"/>
      <c r="DD46" s="31"/>
      <c r="DE46" s="31"/>
      <c r="DF46" s="31"/>
      <c r="DG46" s="31"/>
      <c r="DH46" s="31"/>
      <c r="DI46" s="31"/>
      <c r="DJ46" s="31"/>
      <c r="DK46" s="31"/>
      <c r="DL46" s="31"/>
      <c r="DM46" s="31"/>
      <c r="DN46" s="31"/>
      <c r="DO46" s="31"/>
      <c r="DP46" s="31"/>
      <c r="DQ46" s="31"/>
      <c r="DR46" s="31"/>
      <c r="DS46" s="31"/>
      <c r="DT46" s="31"/>
      <c r="DU46" s="31"/>
      <c r="DV46" s="31"/>
      <c r="DW46" s="31"/>
      <c r="DX46" s="31"/>
      <c r="DY46" s="31"/>
      <c r="DZ46" s="31"/>
      <c r="EA46" s="31"/>
      <c r="EB46" s="31"/>
      <c r="EC46" s="31"/>
      <c r="ED46" s="31"/>
      <c r="EE46" s="31"/>
      <c r="EF46" s="31"/>
      <c r="EG46" s="31"/>
      <c r="EH46" s="31"/>
      <c r="EI46" s="31"/>
      <c r="EJ46" s="31"/>
      <c r="EK46" s="31"/>
      <c r="EL46" s="31"/>
      <c r="EM46" s="31"/>
      <c r="EN46" s="31"/>
      <c r="EO46" s="31"/>
      <c r="EP46" s="31"/>
      <c r="EQ46" s="31"/>
      <c r="ER46" s="31"/>
      <c r="ES46" s="31"/>
      <c r="ET46" s="31"/>
      <c r="EU46" s="31"/>
      <c r="EV46" s="31"/>
      <c r="EW46" s="31"/>
      <c r="EX46" s="31"/>
      <c r="EY46" s="31"/>
      <c r="EZ46" s="31"/>
      <c r="FA46" s="31"/>
      <c r="FB46" s="31"/>
      <c r="FC46" s="31"/>
      <c r="FD46" s="31"/>
      <c r="FE46" s="31"/>
      <c r="FF46" s="31"/>
      <c r="FG46" s="31"/>
      <c r="FH46" s="31"/>
      <c r="FI46" s="31"/>
      <c r="FJ46" s="31"/>
      <c r="FK46" s="31"/>
      <c r="FL46" s="31"/>
      <c r="FM46" s="31"/>
      <c r="FN46" s="31"/>
      <c r="FO46" s="31"/>
      <c r="FP46" s="31"/>
      <c r="FQ46" s="31"/>
      <c r="FR46" s="31"/>
      <c r="FS46" s="31"/>
      <c r="FT46" s="31"/>
      <c r="FU46" s="31"/>
      <c r="FV46" s="31"/>
      <c r="FW46" s="31"/>
      <c r="FX46" s="31"/>
      <c r="FY46" s="31"/>
      <c r="FZ46" s="31"/>
      <c r="GA46" s="31"/>
      <c r="GB46" s="31"/>
      <c r="GC46" s="31"/>
      <c r="GD46" s="31"/>
      <c r="GE46" s="31"/>
      <c r="GF46" s="31"/>
      <c r="GG46" s="31"/>
      <c r="GH46" s="31"/>
      <c r="GI46" s="31"/>
      <c r="GJ46" s="31"/>
      <c r="GK46" s="31"/>
      <c r="GL46" s="31"/>
      <c r="GM46" s="31"/>
      <c r="GN46" s="31"/>
      <c r="GO46" s="31"/>
      <c r="GP46" s="31"/>
      <c r="GQ46" s="31"/>
      <c r="GR46" s="31"/>
      <c r="GS46" s="31"/>
      <c r="GT46" s="31"/>
      <c r="GU46" s="31"/>
      <c r="GV46" s="31"/>
      <c r="GW46" s="31"/>
      <c r="GX46" s="31"/>
      <c r="GY46" s="31"/>
      <c r="GZ46" s="31"/>
      <c r="HA46" s="31"/>
      <c r="HB46" s="31"/>
      <c r="HC46" s="31"/>
      <c r="HD46" s="31"/>
      <c r="HE46" s="31"/>
      <c r="HF46" s="31"/>
      <c r="HG46" s="31"/>
      <c r="HH46" s="31"/>
      <c r="HI46" s="31"/>
      <c r="HJ46" s="31"/>
      <c r="HK46" s="31"/>
      <c r="HL46" s="31"/>
      <c r="HM46" s="31"/>
      <c r="HN46" s="31"/>
      <c r="HO46" s="31"/>
      <c r="HP46" s="31"/>
      <c r="HQ46" s="31"/>
      <c r="HR46" s="31"/>
      <c r="HS46" s="31"/>
      <c r="HT46" s="31"/>
      <c r="HU46" s="31"/>
      <c r="HV46" s="31"/>
      <c r="HW46" s="31"/>
      <c r="HX46" s="31"/>
      <c r="HY46" s="31"/>
      <c r="HZ46" s="31"/>
      <c r="IA46" s="31"/>
      <c r="IB46" s="31"/>
      <c r="IC46" s="31"/>
      <c r="ID46" s="31"/>
      <c r="IE46" s="31"/>
      <c r="IF46" s="31"/>
      <c r="IG46" s="31"/>
      <c r="IH46" s="31"/>
      <c r="II46" s="31"/>
      <c r="IJ46" s="31"/>
      <c r="IK46" s="31"/>
      <c r="IL46" s="31"/>
      <c r="IM46" s="31"/>
      <c r="IN46" s="31"/>
      <c r="IO46" s="31"/>
      <c r="IP46" s="31"/>
      <c r="IQ46" s="31"/>
      <c r="IR46" s="31"/>
      <c r="IS46" s="31"/>
      <c r="IT46" s="31"/>
      <c r="IU46" s="31"/>
      <c r="IV46" s="31"/>
      <c r="IW46" s="31"/>
      <c r="IX46" s="31"/>
      <c r="IY46" s="31"/>
      <c r="IZ46" s="31"/>
      <c r="JA46" s="31"/>
      <c r="JB46" s="31"/>
      <c r="JC46" s="31"/>
      <c r="JD46" s="31"/>
      <c r="JE46" s="31"/>
      <c r="JF46" s="31"/>
      <c r="JG46" s="31"/>
      <c r="JH46" s="31"/>
      <c r="JI46" s="31"/>
      <c r="JJ46" s="31"/>
      <c r="JK46" s="31"/>
      <c r="JL46" s="31"/>
      <c r="JM46" s="31"/>
      <c r="JN46" s="31"/>
      <c r="JO46" s="31"/>
      <c r="JP46" s="31"/>
      <c r="JQ46" s="31"/>
      <c r="JR46" s="31"/>
      <c r="JS46" s="31"/>
      <c r="JT46" s="31"/>
      <c r="JU46" s="31"/>
      <c r="JV46" s="31"/>
      <c r="JW46" s="31"/>
      <c r="JX46" s="31"/>
      <c r="JY46" s="31"/>
      <c r="JZ46" s="31"/>
      <c r="KA46" s="31"/>
      <c r="KB46" s="31"/>
      <c r="KC46" s="31"/>
      <c r="KD46" s="31"/>
      <c r="KE46" s="31"/>
      <c r="KF46" s="31"/>
      <c r="KG46" s="31"/>
      <c r="KH46" s="31"/>
      <c r="KI46" s="31"/>
      <c r="KJ46" s="31"/>
      <c r="KK46" s="31"/>
      <c r="KL46" s="31"/>
      <c r="KM46" s="31"/>
      <c r="KN46" s="31"/>
      <c r="KO46" s="31"/>
      <c r="KP46" s="31"/>
      <c r="KQ46" s="31"/>
      <c r="KR46" s="31"/>
      <c r="KS46" s="31"/>
      <c r="KT46" s="31"/>
      <c r="KU46" s="31"/>
      <c r="KV46" s="31"/>
      <c r="KW46" s="31"/>
      <c r="KX46" s="31"/>
      <c r="KY46" s="31"/>
      <c r="KZ46" s="31"/>
      <c r="LA46" s="31"/>
      <c r="LB46" s="31"/>
      <c r="LC46" s="31"/>
      <c r="LD46" s="31"/>
      <c r="LE46" s="31"/>
      <c r="LF46" s="31"/>
      <c r="LG46" s="31"/>
      <c r="LH46" s="31"/>
      <c r="LI46" s="31"/>
      <c r="LJ46" s="31"/>
      <c r="LK46" s="31"/>
      <c r="LL46" s="31"/>
      <c r="LM46" s="31"/>
      <c r="LN46" s="31"/>
      <c r="LO46" s="31"/>
      <c r="LP46" s="31"/>
      <c r="LQ46" s="31"/>
      <c r="LR46" s="31"/>
      <c r="LS46" s="31"/>
      <c r="LT46" s="31"/>
      <c r="LU46" s="31"/>
      <c r="LV46" s="31"/>
      <c r="LW46" s="31"/>
      <c r="LX46" s="31"/>
      <c r="LY46" s="31"/>
      <c r="LZ46" s="31"/>
      <c r="MA46" s="31"/>
      <c r="MB46" s="31"/>
      <c r="MC46" s="31"/>
      <c r="MD46" s="31"/>
      <c r="ME46" s="31"/>
      <c r="MF46" s="31"/>
      <c r="MG46" s="31"/>
      <c r="MH46" s="31"/>
      <c r="MI46" s="31"/>
      <c r="MJ46" s="31"/>
      <c r="MK46" s="31"/>
      <c r="ML46" s="31"/>
      <c r="MM46" s="31"/>
      <c r="MN46" s="31"/>
      <c r="MO46" s="31"/>
      <c r="MP46" s="31"/>
      <c r="MQ46" s="31"/>
      <c r="MR46" s="31"/>
      <c r="MS46" s="31"/>
      <c r="MT46" s="31"/>
      <c r="MU46" s="31"/>
      <c r="MV46" s="31"/>
      <c r="MW46" s="31"/>
      <c r="MX46" s="31"/>
      <c r="MY46" s="31"/>
      <c r="MZ46" s="31"/>
      <c r="NA46" s="31"/>
      <c r="NB46" s="31"/>
      <c r="NC46" s="31"/>
      <c r="ND46" s="31"/>
      <c r="NE46" s="31"/>
      <c r="NF46" s="31"/>
      <c r="NG46" s="31"/>
      <c r="NH46" s="31"/>
      <c r="NI46" s="31"/>
      <c r="NJ46" s="31"/>
      <c r="NK46" s="31"/>
      <c r="NL46" s="31"/>
      <c r="NM46" s="31"/>
      <c r="NN46" s="31"/>
      <c r="NO46" s="31"/>
      <c r="NP46" s="31"/>
      <c r="NQ46" s="31"/>
      <c r="NR46" s="31"/>
      <c r="NS46" s="31"/>
      <c r="NT46" s="31"/>
      <c r="NU46" s="31"/>
      <c r="NV46" s="31"/>
      <c r="NW46" s="31"/>
      <c r="NX46" s="31"/>
      <c r="NY46" s="31"/>
      <c r="NZ46" s="31"/>
      <c r="OA46" s="31"/>
      <c r="OB46" s="31"/>
      <c r="OC46" s="31"/>
      <c r="OD46" s="31"/>
      <c r="OE46" s="31"/>
      <c r="OF46" s="31"/>
      <c r="OG46" s="31"/>
      <c r="OH46" s="31"/>
      <c r="OI46" s="31"/>
      <c r="OJ46" s="31"/>
      <c r="OK46" s="31"/>
      <c r="OL46" s="31"/>
      <c r="OM46" s="31"/>
      <c r="ON46" s="31"/>
      <c r="OO46" s="31"/>
      <c r="OP46" s="31"/>
      <c r="OQ46" s="31"/>
      <c r="OR46" s="31"/>
      <c r="OS46" s="31"/>
      <c r="OT46" s="31"/>
      <c r="OU46" s="31"/>
      <c r="OV46" s="31"/>
      <c r="OW46" s="31"/>
      <c r="OX46" s="31"/>
      <c r="OY46" s="31"/>
      <c r="OZ46" s="31"/>
      <c r="PA46" s="31"/>
      <c r="PB46" s="31"/>
      <c r="PC46" s="31"/>
      <c r="PD46" s="31"/>
      <c r="PE46" s="31"/>
      <c r="PF46" s="31"/>
      <c r="PG46" s="31"/>
      <c r="PH46" s="31"/>
      <c r="PI46" s="31"/>
      <c r="PJ46" s="31"/>
      <c r="PK46" s="31"/>
      <c r="PL46" s="31"/>
      <c r="PM46" s="31"/>
      <c r="PN46" s="31"/>
      <c r="PO46" s="31"/>
      <c r="PP46" s="31"/>
      <c r="PQ46" s="31"/>
      <c r="PR46" s="31"/>
      <c r="PS46" s="31"/>
      <c r="PT46" s="31"/>
      <c r="PU46" s="31"/>
      <c r="PV46" s="31"/>
      <c r="PW46" s="31"/>
      <c r="PX46" s="31"/>
      <c r="PY46" s="31"/>
      <c r="PZ46" s="31"/>
      <c r="QA46" s="31"/>
      <c r="QB46" s="31"/>
      <c r="QC46" s="31"/>
      <c r="QD46" s="31"/>
      <c r="QE46" s="31"/>
      <c r="QF46" s="31"/>
      <c r="QG46" s="31"/>
      <c r="QH46" s="31"/>
      <c r="QI46" s="31"/>
      <c r="QJ46" s="31"/>
      <c r="QK46" s="31"/>
      <c r="QL46" s="31"/>
      <c r="QM46" s="31"/>
      <c r="QN46" s="31"/>
      <c r="QO46" s="31"/>
      <c r="QP46" s="31"/>
      <c r="QQ46" s="31"/>
      <c r="QR46" s="31"/>
      <c r="QS46" s="31"/>
      <c r="QT46" s="31"/>
      <c r="QU46" s="31"/>
      <c r="QV46" s="31"/>
      <c r="QW46" s="31"/>
      <c r="QX46" s="31"/>
      <c r="QY46" s="31"/>
      <c r="QZ46" s="31"/>
      <c r="RA46" s="31"/>
      <c r="RB46" s="31"/>
      <c r="RC46" s="31"/>
      <c r="RD46" s="31"/>
      <c r="RE46" s="31"/>
      <c r="RF46" s="31"/>
      <c r="RG46" s="31"/>
      <c r="RH46" s="31"/>
      <c r="RI46" s="31"/>
      <c r="RJ46" s="31"/>
      <c r="RK46" s="31"/>
      <c r="RL46" s="31"/>
      <c r="RM46" s="31"/>
      <c r="RN46" s="31"/>
      <c r="RO46" s="31"/>
      <c r="RP46" s="31"/>
      <c r="RQ46" s="31"/>
      <c r="RR46" s="31"/>
      <c r="RS46" s="31"/>
      <c r="RT46" s="31"/>
      <c r="RU46" s="31"/>
      <c r="RV46" s="31"/>
      <c r="RW46" s="31"/>
      <c r="RX46" s="31"/>
      <c r="RY46" s="31"/>
      <c r="RZ46" s="31"/>
      <c r="SA46" s="31"/>
      <c r="SB46" s="31"/>
      <c r="SC46" s="31"/>
      <c r="SD46" s="78"/>
      <c r="SE46" s="31"/>
      <c r="SF46" s="31"/>
      <c r="SG46" s="31"/>
      <c r="SH46" s="31"/>
      <c r="SI46" s="31"/>
      <c r="SJ46" s="82"/>
      <c r="SK46" s="6"/>
    </row>
    <row r="47" ht="14.25" customHeight="1">
      <c r="A47" s="80" t="s">
        <v>567</v>
      </c>
      <c r="B47" s="30" t="s">
        <v>607</v>
      </c>
      <c r="C47" s="81"/>
      <c r="D47" s="74">
        <f t="shared" si="4"/>
        <v>0</v>
      </c>
      <c r="E47" s="78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  <c r="CW47" s="31"/>
      <c r="CX47" s="31"/>
      <c r="CY47" s="31"/>
      <c r="CZ47" s="31"/>
      <c r="DA47" s="31"/>
      <c r="DB47" s="31"/>
      <c r="DC47" s="31"/>
      <c r="DD47" s="31"/>
      <c r="DE47" s="31"/>
      <c r="DF47" s="31"/>
      <c r="DG47" s="31"/>
      <c r="DH47" s="31"/>
      <c r="DI47" s="31"/>
      <c r="DJ47" s="31"/>
      <c r="DK47" s="31"/>
      <c r="DL47" s="31"/>
      <c r="DM47" s="31"/>
      <c r="DN47" s="31"/>
      <c r="DO47" s="31"/>
      <c r="DP47" s="31"/>
      <c r="DQ47" s="31"/>
      <c r="DR47" s="31"/>
      <c r="DS47" s="31"/>
      <c r="DT47" s="31"/>
      <c r="DU47" s="31"/>
      <c r="DV47" s="31"/>
      <c r="DW47" s="31"/>
      <c r="DX47" s="31"/>
      <c r="DY47" s="31"/>
      <c r="DZ47" s="31"/>
      <c r="EA47" s="31"/>
      <c r="EB47" s="31"/>
      <c r="EC47" s="31"/>
      <c r="ED47" s="31"/>
      <c r="EE47" s="31"/>
      <c r="EF47" s="31"/>
      <c r="EG47" s="31"/>
      <c r="EH47" s="31"/>
      <c r="EI47" s="31"/>
      <c r="EJ47" s="31"/>
      <c r="EK47" s="31"/>
      <c r="EL47" s="31"/>
      <c r="EM47" s="31"/>
      <c r="EN47" s="31"/>
      <c r="EO47" s="31"/>
      <c r="EP47" s="31"/>
      <c r="EQ47" s="31"/>
      <c r="ER47" s="31"/>
      <c r="ES47" s="31"/>
      <c r="ET47" s="31"/>
      <c r="EU47" s="31"/>
      <c r="EV47" s="31"/>
      <c r="EW47" s="31"/>
      <c r="EX47" s="31"/>
      <c r="EY47" s="31"/>
      <c r="EZ47" s="31"/>
      <c r="FA47" s="31"/>
      <c r="FB47" s="31"/>
      <c r="FC47" s="31"/>
      <c r="FD47" s="31"/>
      <c r="FE47" s="31"/>
      <c r="FF47" s="31"/>
      <c r="FG47" s="31"/>
      <c r="FH47" s="31"/>
      <c r="FI47" s="31"/>
      <c r="FJ47" s="31"/>
      <c r="FK47" s="31"/>
      <c r="FL47" s="31"/>
      <c r="FM47" s="31"/>
      <c r="FN47" s="31"/>
      <c r="FO47" s="31"/>
      <c r="FP47" s="31"/>
      <c r="FQ47" s="31"/>
      <c r="FR47" s="31"/>
      <c r="FS47" s="31"/>
      <c r="FT47" s="31"/>
      <c r="FU47" s="31"/>
      <c r="FV47" s="31"/>
      <c r="FW47" s="31"/>
      <c r="FX47" s="31"/>
      <c r="FY47" s="31"/>
      <c r="FZ47" s="31"/>
      <c r="GA47" s="31"/>
      <c r="GB47" s="31"/>
      <c r="GC47" s="31"/>
      <c r="GD47" s="31"/>
      <c r="GE47" s="31"/>
      <c r="GF47" s="31"/>
      <c r="GG47" s="31"/>
      <c r="GH47" s="31"/>
      <c r="GI47" s="31"/>
      <c r="GJ47" s="31"/>
      <c r="GK47" s="31"/>
      <c r="GL47" s="31"/>
      <c r="GM47" s="31"/>
      <c r="GN47" s="31"/>
      <c r="GO47" s="31"/>
      <c r="GP47" s="31"/>
      <c r="GQ47" s="31"/>
      <c r="GR47" s="31"/>
      <c r="GS47" s="31"/>
      <c r="GT47" s="31"/>
      <c r="GU47" s="31"/>
      <c r="GV47" s="31"/>
      <c r="GW47" s="31"/>
      <c r="GX47" s="31"/>
      <c r="GY47" s="31"/>
      <c r="GZ47" s="31"/>
      <c r="HA47" s="31"/>
      <c r="HB47" s="31"/>
      <c r="HC47" s="31"/>
      <c r="HD47" s="31"/>
      <c r="HE47" s="31"/>
      <c r="HF47" s="31"/>
      <c r="HG47" s="31"/>
      <c r="HH47" s="31"/>
      <c r="HI47" s="31"/>
      <c r="HJ47" s="31"/>
      <c r="HK47" s="31"/>
      <c r="HL47" s="31"/>
      <c r="HM47" s="31"/>
      <c r="HN47" s="31"/>
      <c r="HO47" s="31"/>
      <c r="HP47" s="31"/>
      <c r="HQ47" s="31"/>
      <c r="HR47" s="31"/>
      <c r="HS47" s="31"/>
      <c r="HT47" s="31"/>
      <c r="HU47" s="31"/>
      <c r="HV47" s="31"/>
      <c r="HW47" s="31"/>
      <c r="HX47" s="31"/>
      <c r="HY47" s="31"/>
      <c r="HZ47" s="31"/>
      <c r="IA47" s="31"/>
      <c r="IB47" s="31"/>
      <c r="IC47" s="31"/>
      <c r="ID47" s="31"/>
      <c r="IE47" s="31"/>
      <c r="IF47" s="31"/>
      <c r="IG47" s="31"/>
      <c r="IH47" s="31"/>
      <c r="II47" s="31"/>
      <c r="IJ47" s="31"/>
      <c r="IK47" s="31"/>
      <c r="IL47" s="31"/>
      <c r="IM47" s="31"/>
      <c r="IN47" s="31"/>
      <c r="IO47" s="31"/>
      <c r="IP47" s="31"/>
      <c r="IQ47" s="31"/>
      <c r="IR47" s="31"/>
      <c r="IS47" s="31"/>
      <c r="IT47" s="31"/>
      <c r="IU47" s="31"/>
      <c r="IV47" s="31"/>
      <c r="IW47" s="31"/>
      <c r="IX47" s="31"/>
      <c r="IY47" s="31"/>
      <c r="IZ47" s="31"/>
      <c r="JA47" s="31"/>
      <c r="JB47" s="31"/>
      <c r="JC47" s="31"/>
      <c r="JD47" s="31"/>
      <c r="JE47" s="31"/>
      <c r="JF47" s="31"/>
      <c r="JG47" s="31"/>
      <c r="JH47" s="31"/>
      <c r="JI47" s="31"/>
      <c r="JJ47" s="31"/>
      <c r="JK47" s="31"/>
      <c r="JL47" s="31"/>
      <c r="JM47" s="31"/>
      <c r="JN47" s="31"/>
      <c r="JO47" s="31"/>
      <c r="JP47" s="31"/>
      <c r="JQ47" s="31"/>
      <c r="JR47" s="31"/>
      <c r="JS47" s="31"/>
      <c r="JT47" s="31"/>
      <c r="JU47" s="31"/>
      <c r="JV47" s="31"/>
      <c r="JW47" s="31"/>
      <c r="JX47" s="31"/>
      <c r="JY47" s="31"/>
      <c r="JZ47" s="31"/>
      <c r="KA47" s="31"/>
      <c r="KB47" s="31"/>
      <c r="KC47" s="31"/>
      <c r="KD47" s="31"/>
      <c r="KE47" s="31"/>
      <c r="KF47" s="31"/>
      <c r="KG47" s="31"/>
      <c r="KH47" s="31"/>
      <c r="KI47" s="31"/>
      <c r="KJ47" s="31"/>
      <c r="KK47" s="31"/>
      <c r="KL47" s="31"/>
      <c r="KM47" s="31"/>
      <c r="KN47" s="31"/>
      <c r="KO47" s="31"/>
      <c r="KP47" s="31"/>
      <c r="KQ47" s="31"/>
      <c r="KR47" s="31"/>
      <c r="KS47" s="31"/>
      <c r="KT47" s="31"/>
      <c r="KU47" s="31"/>
      <c r="KV47" s="31"/>
      <c r="KW47" s="31"/>
      <c r="KX47" s="31"/>
      <c r="KY47" s="31"/>
      <c r="KZ47" s="31"/>
      <c r="LA47" s="31"/>
      <c r="LB47" s="31"/>
      <c r="LC47" s="31"/>
      <c r="LD47" s="31"/>
      <c r="LE47" s="31"/>
      <c r="LF47" s="31"/>
      <c r="LG47" s="31"/>
      <c r="LH47" s="31"/>
      <c r="LI47" s="31"/>
      <c r="LJ47" s="31"/>
      <c r="LK47" s="31"/>
      <c r="LL47" s="31"/>
      <c r="LM47" s="31"/>
      <c r="LN47" s="31"/>
      <c r="LO47" s="31"/>
      <c r="LP47" s="31"/>
      <c r="LQ47" s="31"/>
      <c r="LR47" s="31"/>
      <c r="LS47" s="31"/>
      <c r="LT47" s="31"/>
      <c r="LU47" s="31"/>
      <c r="LV47" s="31"/>
      <c r="LW47" s="31"/>
      <c r="LX47" s="31"/>
      <c r="LY47" s="31"/>
      <c r="LZ47" s="31"/>
      <c r="MA47" s="31"/>
      <c r="MB47" s="31"/>
      <c r="MC47" s="31"/>
      <c r="MD47" s="31"/>
      <c r="ME47" s="31"/>
      <c r="MF47" s="31"/>
      <c r="MG47" s="31"/>
      <c r="MH47" s="31"/>
      <c r="MI47" s="31"/>
      <c r="MJ47" s="31"/>
      <c r="MK47" s="31"/>
      <c r="ML47" s="31"/>
      <c r="MM47" s="31"/>
      <c r="MN47" s="31"/>
      <c r="MO47" s="31"/>
      <c r="MP47" s="31"/>
      <c r="MQ47" s="31"/>
      <c r="MR47" s="31"/>
      <c r="MS47" s="31"/>
      <c r="MT47" s="31"/>
      <c r="MU47" s="31"/>
      <c r="MV47" s="31"/>
      <c r="MW47" s="31"/>
      <c r="MX47" s="31"/>
      <c r="MY47" s="31"/>
      <c r="MZ47" s="31"/>
      <c r="NA47" s="31"/>
      <c r="NB47" s="31"/>
      <c r="NC47" s="31"/>
      <c r="ND47" s="31"/>
      <c r="NE47" s="31"/>
      <c r="NF47" s="31"/>
      <c r="NG47" s="31"/>
      <c r="NH47" s="31"/>
      <c r="NI47" s="31"/>
      <c r="NJ47" s="31"/>
      <c r="NK47" s="31"/>
      <c r="NL47" s="31"/>
      <c r="NM47" s="31"/>
      <c r="NN47" s="31"/>
      <c r="NO47" s="31"/>
      <c r="NP47" s="31"/>
      <c r="NQ47" s="31"/>
      <c r="NR47" s="31"/>
      <c r="NS47" s="31"/>
      <c r="NT47" s="31"/>
      <c r="NU47" s="31"/>
      <c r="NV47" s="31"/>
      <c r="NW47" s="31"/>
      <c r="NX47" s="31"/>
      <c r="NY47" s="31"/>
      <c r="NZ47" s="31"/>
      <c r="OA47" s="31"/>
      <c r="OB47" s="31"/>
      <c r="OC47" s="31"/>
      <c r="OD47" s="31"/>
      <c r="OE47" s="31"/>
      <c r="OF47" s="31"/>
      <c r="OG47" s="31"/>
      <c r="OH47" s="31"/>
      <c r="OI47" s="31"/>
      <c r="OJ47" s="31"/>
      <c r="OK47" s="31"/>
      <c r="OL47" s="31"/>
      <c r="OM47" s="31"/>
      <c r="ON47" s="31"/>
      <c r="OO47" s="31"/>
      <c r="OP47" s="31"/>
      <c r="OQ47" s="31"/>
      <c r="OR47" s="31"/>
      <c r="OS47" s="31"/>
      <c r="OT47" s="31"/>
      <c r="OU47" s="31"/>
      <c r="OV47" s="31"/>
      <c r="OW47" s="31"/>
      <c r="OX47" s="31"/>
      <c r="OY47" s="31"/>
      <c r="OZ47" s="31"/>
      <c r="PA47" s="31"/>
      <c r="PB47" s="31"/>
      <c r="PC47" s="31"/>
      <c r="PD47" s="31"/>
      <c r="PE47" s="31"/>
      <c r="PF47" s="31"/>
      <c r="PG47" s="31"/>
      <c r="PH47" s="31"/>
      <c r="PI47" s="31"/>
      <c r="PJ47" s="31"/>
      <c r="PK47" s="31"/>
      <c r="PL47" s="31"/>
      <c r="PM47" s="31"/>
      <c r="PN47" s="31"/>
      <c r="PO47" s="31"/>
      <c r="PP47" s="31"/>
      <c r="PQ47" s="31"/>
      <c r="PR47" s="31"/>
      <c r="PS47" s="31"/>
      <c r="PT47" s="31"/>
      <c r="PU47" s="31"/>
      <c r="PV47" s="31"/>
      <c r="PW47" s="31"/>
      <c r="PX47" s="31"/>
      <c r="PY47" s="31"/>
      <c r="PZ47" s="31"/>
      <c r="QA47" s="31"/>
      <c r="QB47" s="31"/>
      <c r="QC47" s="31"/>
      <c r="QD47" s="31"/>
      <c r="QE47" s="31"/>
      <c r="QF47" s="31"/>
      <c r="QG47" s="31"/>
      <c r="QH47" s="31"/>
      <c r="QI47" s="31"/>
      <c r="QJ47" s="31"/>
      <c r="QK47" s="31"/>
      <c r="QL47" s="31"/>
      <c r="QM47" s="31"/>
      <c r="QN47" s="31"/>
      <c r="QO47" s="31"/>
      <c r="QP47" s="31"/>
      <c r="QQ47" s="31"/>
      <c r="QR47" s="31"/>
      <c r="QS47" s="31"/>
      <c r="QT47" s="31"/>
      <c r="QU47" s="31"/>
      <c r="QV47" s="31"/>
      <c r="QW47" s="31"/>
      <c r="QX47" s="31"/>
      <c r="QY47" s="31"/>
      <c r="QZ47" s="31"/>
      <c r="RA47" s="31"/>
      <c r="RB47" s="31"/>
      <c r="RC47" s="31"/>
      <c r="RD47" s="31"/>
      <c r="RE47" s="31"/>
      <c r="RF47" s="31"/>
      <c r="RG47" s="31"/>
      <c r="RH47" s="31"/>
      <c r="RI47" s="31"/>
      <c r="RJ47" s="31"/>
      <c r="RK47" s="31"/>
      <c r="RL47" s="31"/>
      <c r="RM47" s="31"/>
      <c r="RN47" s="31"/>
      <c r="RO47" s="31"/>
      <c r="RP47" s="31"/>
      <c r="RQ47" s="31"/>
      <c r="RR47" s="31"/>
      <c r="RS47" s="31"/>
      <c r="RT47" s="31"/>
      <c r="RU47" s="31"/>
      <c r="RV47" s="31"/>
      <c r="RW47" s="31"/>
      <c r="RX47" s="31"/>
      <c r="RY47" s="31"/>
      <c r="RZ47" s="31"/>
      <c r="SA47" s="31"/>
      <c r="SB47" s="31"/>
      <c r="SC47" s="31"/>
      <c r="SD47" s="31"/>
      <c r="SE47" s="31"/>
      <c r="SF47" s="31"/>
      <c r="SG47" s="31"/>
      <c r="SH47" s="31"/>
      <c r="SI47" s="31"/>
      <c r="SJ47" s="82"/>
      <c r="SK47" s="6"/>
    </row>
    <row r="48" ht="14.25" customHeight="1">
      <c r="A48" s="80" t="s">
        <v>567</v>
      </c>
      <c r="B48" s="30" t="s">
        <v>608</v>
      </c>
      <c r="C48" s="81"/>
      <c r="D48" s="74">
        <f t="shared" si="4"/>
        <v>8762.11</v>
      </c>
      <c r="E48" s="78"/>
      <c r="F48" s="31"/>
      <c r="G48" s="31"/>
      <c r="H48" s="31"/>
      <c r="I48" s="31"/>
      <c r="J48" s="31"/>
      <c r="K48" s="31"/>
      <c r="L48" s="83">
        <v>49.0</v>
      </c>
      <c r="M48" s="31"/>
      <c r="N48" s="83">
        <v>930.0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83"/>
      <c r="AP48" s="31"/>
      <c r="AQ48" s="31"/>
      <c r="AR48" s="31"/>
      <c r="AS48" s="31"/>
      <c r="AT48" s="83"/>
      <c r="AU48" s="31"/>
      <c r="AV48" s="31"/>
      <c r="AW48" s="31"/>
      <c r="AX48" s="31"/>
      <c r="AY48" s="31"/>
      <c r="AZ48" s="31"/>
      <c r="BA48" s="31"/>
      <c r="BB48" s="31"/>
      <c r="BC48" s="31"/>
      <c r="BD48" s="83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83"/>
      <c r="BR48" s="31"/>
      <c r="BS48" s="31"/>
      <c r="BT48" s="83">
        <v>6653.07</v>
      </c>
      <c r="BU48" s="83">
        <v>1130.04</v>
      </c>
      <c r="BV48" s="31"/>
      <c r="BW48" s="83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  <c r="CY48" s="31"/>
      <c r="CZ48" s="31"/>
      <c r="DA48" s="31"/>
      <c r="DB48" s="31"/>
      <c r="DC48" s="31"/>
      <c r="DD48" s="31"/>
      <c r="DE48" s="31"/>
      <c r="DF48" s="31"/>
      <c r="DG48" s="31"/>
      <c r="DH48" s="31"/>
      <c r="DI48" s="31"/>
      <c r="DJ48" s="31"/>
      <c r="DK48" s="31"/>
      <c r="DL48" s="31"/>
      <c r="DM48" s="31"/>
      <c r="DN48" s="31"/>
      <c r="DO48" s="31"/>
      <c r="DP48" s="31"/>
      <c r="DQ48" s="31"/>
      <c r="DR48" s="31"/>
      <c r="DS48" s="31"/>
      <c r="DT48" s="31"/>
      <c r="DU48" s="31"/>
      <c r="DV48" s="31"/>
      <c r="DW48" s="31"/>
      <c r="DX48" s="31"/>
      <c r="DY48" s="31"/>
      <c r="DZ48" s="31"/>
      <c r="EA48" s="31"/>
      <c r="EB48" s="31"/>
      <c r="EC48" s="31"/>
      <c r="ED48" s="31"/>
      <c r="EE48" s="31"/>
      <c r="EF48" s="31"/>
      <c r="EG48" s="31"/>
      <c r="EH48" s="31"/>
      <c r="EI48" s="31"/>
      <c r="EJ48" s="31"/>
      <c r="EK48" s="31"/>
      <c r="EL48" s="31"/>
      <c r="EM48" s="31"/>
      <c r="EN48" s="31"/>
      <c r="EO48" s="31"/>
      <c r="EP48" s="31"/>
      <c r="EQ48" s="31"/>
      <c r="ER48" s="31"/>
      <c r="ES48" s="31"/>
      <c r="ET48" s="31"/>
      <c r="EU48" s="31"/>
      <c r="EV48" s="31"/>
      <c r="EW48" s="31"/>
      <c r="EX48" s="31"/>
      <c r="EY48" s="31"/>
      <c r="EZ48" s="31"/>
      <c r="FA48" s="31"/>
      <c r="FB48" s="31"/>
      <c r="FC48" s="31"/>
      <c r="FD48" s="31"/>
      <c r="FE48" s="31"/>
      <c r="FF48" s="31"/>
      <c r="FG48" s="31"/>
      <c r="FH48" s="31"/>
      <c r="FI48" s="31"/>
      <c r="FJ48" s="31"/>
      <c r="FK48" s="31"/>
      <c r="FL48" s="31"/>
      <c r="FM48" s="31"/>
      <c r="FN48" s="31"/>
      <c r="FO48" s="31"/>
      <c r="FP48" s="31"/>
      <c r="FQ48" s="31"/>
      <c r="FR48" s="31"/>
      <c r="FS48" s="31"/>
      <c r="FT48" s="31"/>
      <c r="FU48" s="31"/>
      <c r="FV48" s="31"/>
      <c r="FW48" s="31"/>
      <c r="FX48" s="31"/>
      <c r="FY48" s="31"/>
      <c r="FZ48" s="31"/>
      <c r="GA48" s="31"/>
      <c r="GB48" s="31"/>
      <c r="GC48" s="31"/>
      <c r="GD48" s="31"/>
      <c r="GE48" s="31"/>
      <c r="GF48" s="31"/>
      <c r="GG48" s="31"/>
      <c r="GH48" s="31"/>
      <c r="GI48" s="31"/>
      <c r="GJ48" s="31"/>
      <c r="GK48" s="31"/>
      <c r="GL48" s="31"/>
      <c r="GM48" s="31"/>
      <c r="GN48" s="31"/>
      <c r="GO48" s="31"/>
      <c r="GP48" s="31"/>
      <c r="GQ48" s="31"/>
      <c r="GR48" s="31"/>
      <c r="GS48" s="31"/>
      <c r="GT48" s="31"/>
      <c r="GU48" s="31"/>
      <c r="GV48" s="31"/>
      <c r="GW48" s="31"/>
      <c r="GX48" s="31"/>
      <c r="GY48" s="31"/>
      <c r="GZ48" s="31"/>
      <c r="HA48" s="31"/>
      <c r="HB48" s="31"/>
      <c r="HC48" s="31"/>
      <c r="HD48" s="31"/>
      <c r="HE48" s="31"/>
      <c r="HF48" s="31"/>
      <c r="HG48" s="31"/>
      <c r="HH48" s="31"/>
      <c r="HI48" s="31"/>
      <c r="HJ48" s="31"/>
      <c r="HK48" s="31"/>
      <c r="HL48" s="31"/>
      <c r="HM48" s="31"/>
      <c r="HN48" s="31"/>
      <c r="HO48" s="31"/>
      <c r="HP48" s="31"/>
      <c r="HQ48" s="31"/>
      <c r="HR48" s="31"/>
      <c r="HS48" s="31"/>
      <c r="HT48" s="31"/>
      <c r="HU48" s="31"/>
      <c r="HV48" s="31"/>
      <c r="HW48" s="31"/>
      <c r="HX48" s="31"/>
      <c r="HY48" s="31"/>
      <c r="HZ48" s="31"/>
      <c r="IA48" s="31"/>
      <c r="IB48" s="31"/>
      <c r="IC48" s="31"/>
      <c r="ID48" s="31"/>
      <c r="IE48" s="31"/>
      <c r="IF48" s="31"/>
      <c r="IG48" s="31"/>
      <c r="IH48" s="31"/>
      <c r="II48" s="31"/>
      <c r="IJ48" s="31"/>
      <c r="IK48" s="31"/>
      <c r="IL48" s="31"/>
      <c r="IM48" s="31"/>
      <c r="IN48" s="31"/>
      <c r="IO48" s="31"/>
      <c r="IP48" s="31"/>
      <c r="IQ48" s="31"/>
      <c r="IR48" s="31"/>
      <c r="IS48" s="31"/>
      <c r="IT48" s="31"/>
      <c r="IU48" s="31"/>
      <c r="IV48" s="31"/>
      <c r="IW48" s="31"/>
      <c r="IX48" s="31"/>
      <c r="IY48" s="31"/>
      <c r="IZ48" s="31"/>
      <c r="JA48" s="31"/>
      <c r="JB48" s="31"/>
      <c r="JC48" s="31"/>
      <c r="JD48" s="31"/>
      <c r="JE48" s="31"/>
      <c r="JF48" s="31"/>
      <c r="JG48" s="31"/>
      <c r="JH48" s="31"/>
      <c r="JI48" s="31"/>
      <c r="JJ48" s="31"/>
      <c r="JK48" s="31"/>
      <c r="JL48" s="31"/>
      <c r="JM48" s="31"/>
      <c r="JN48" s="31"/>
      <c r="JO48" s="31"/>
      <c r="JP48" s="31"/>
      <c r="JQ48" s="31"/>
      <c r="JR48" s="31"/>
      <c r="JS48" s="31"/>
      <c r="JT48" s="31"/>
      <c r="JU48" s="31"/>
      <c r="JV48" s="31"/>
      <c r="JW48" s="31"/>
      <c r="JX48" s="31"/>
      <c r="JY48" s="31"/>
      <c r="JZ48" s="31"/>
      <c r="KA48" s="31"/>
      <c r="KB48" s="31"/>
      <c r="KC48" s="31"/>
      <c r="KD48" s="31"/>
      <c r="KE48" s="31"/>
      <c r="KF48" s="31"/>
      <c r="KG48" s="31"/>
      <c r="KH48" s="31"/>
      <c r="KI48" s="31"/>
      <c r="KJ48" s="31"/>
      <c r="KK48" s="31"/>
      <c r="KL48" s="31"/>
      <c r="KM48" s="31"/>
      <c r="KN48" s="31"/>
      <c r="KO48" s="31"/>
      <c r="KP48" s="31"/>
      <c r="KQ48" s="31"/>
      <c r="KR48" s="31"/>
      <c r="KS48" s="31"/>
      <c r="KT48" s="31"/>
      <c r="KU48" s="31"/>
      <c r="KV48" s="31"/>
      <c r="KW48" s="31"/>
      <c r="KX48" s="31"/>
      <c r="KY48" s="31"/>
      <c r="KZ48" s="31"/>
      <c r="LA48" s="31"/>
      <c r="LB48" s="31"/>
      <c r="LC48" s="31"/>
      <c r="LD48" s="31"/>
      <c r="LE48" s="31"/>
      <c r="LF48" s="31"/>
      <c r="LG48" s="31"/>
      <c r="LH48" s="31"/>
      <c r="LI48" s="31"/>
      <c r="LJ48" s="31"/>
      <c r="LK48" s="31"/>
      <c r="LL48" s="31"/>
      <c r="LM48" s="31"/>
      <c r="LN48" s="31"/>
      <c r="LO48" s="31"/>
      <c r="LP48" s="31"/>
      <c r="LQ48" s="31"/>
      <c r="LR48" s="31"/>
      <c r="LS48" s="31"/>
      <c r="LT48" s="31"/>
      <c r="LU48" s="31"/>
      <c r="LV48" s="31"/>
      <c r="LW48" s="31"/>
      <c r="LX48" s="31"/>
      <c r="LY48" s="31"/>
      <c r="LZ48" s="31"/>
      <c r="MA48" s="31"/>
      <c r="MB48" s="31"/>
      <c r="MC48" s="31"/>
      <c r="MD48" s="31"/>
      <c r="ME48" s="31"/>
      <c r="MF48" s="31"/>
      <c r="MG48" s="31"/>
      <c r="MH48" s="31"/>
      <c r="MI48" s="31"/>
      <c r="MJ48" s="31"/>
      <c r="MK48" s="31"/>
      <c r="ML48" s="31"/>
      <c r="MM48" s="31"/>
      <c r="MN48" s="31"/>
      <c r="MO48" s="31"/>
      <c r="MP48" s="31"/>
      <c r="MQ48" s="31"/>
      <c r="MR48" s="31"/>
      <c r="MS48" s="31"/>
      <c r="MT48" s="31"/>
      <c r="MU48" s="31"/>
      <c r="MV48" s="31"/>
      <c r="MW48" s="31"/>
      <c r="MX48" s="31"/>
      <c r="MY48" s="31"/>
      <c r="MZ48" s="31"/>
      <c r="NA48" s="31"/>
      <c r="NB48" s="31"/>
      <c r="NC48" s="31"/>
      <c r="ND48" s="31"/>
      <c r="NE48" s="31"/>
      <c r="NF48" s="31"/>
      <c r="NG48" s="31"/>
      <c r="NH48" s="31"/>
      <c r="NI48" s="31"/>
      <c r="NJ48" s="31"/>
      <c r="NK48" s="31"/>
      <c r="NL48" s="31"/>
      <c r="NM48" s="31"/>
      <c r="NN48" s="31"/>
      <c r="NO48" s="31"/>
      <c r="NP48" s="31"/>
      <c r="NQ48" s="31"/>
      <c r="NR48" s="31"/>
      <c r="NS48" s="31"/>
      <c r="NT48" s="31"/>
      <c r="NU48" s="31"/>
      <c r="NV48" s="31"/>
      <c r="NW48" s="31"/>
      <c r="NX48" s="31"/>
      <c r="NY48" s="31"/>
      <c r="NZ48" s="31"/>
      <c r="OA48" s="31"/>
      <c r="OB48" s="31"/>
      <c r="OC48" s="31"/>
      <c r="OD48" s="31"/>
      <c r="OE48" s="31"/>
      <c r="OF48" s="31"/>
      <c r="OG48" s="31"/>
      <c r="OH48" s="31"/>
      <c r="OI48" s="31"/>
      <c r="OJ48" s="31"/>
      <c r="OK48" s="31"/>
      <c r="OL48" s="31"/>
      <c r="OM48" s="31"/>
      <c r="ON48" s="31"/>
      <c r="OO48" s="31"/>
      <c r="OP48" s="31"/>
      <c r="OQ48" s="31"/>
      <c r="OR48" s="31"/>
      <c r="OS48" s="31"/>
      <c r="OT48" s="31"/>
      <c r="OU48" s="31"/>
      <c r="OV48" s="31"/>
      <c r="OW48" s="31"/>
      <c r="OX48" s="31"/>
      <c r="OY48" s="31"/>
      <c r="OZ48" s="31"/>
      <c r="PA48" s="31"/>
      <c r="PB48" s="31"/>
      <c r="PC48" s="31"/>
      <c r="PD48" s="31"/>
      <c r="PE48" s="31"/>
      <c r="PF48" s="31"/>
      <c r="PG48" s="31"/>
      <c r="PH48" s="31"/>
      <c r="PI48" s="31"/>
      <c r="PJ48" s="31"/>
      <c r="PK48" s="31"/>
      <c r="PL48" s="31"/>
      <c r="PM48" s="31"/>
      <c r="PN48" s="31"/>
      <c r="PO48" s="31"/>
      <c r="PP48" s="31"/>
      <c r="PQ48" s="31"/>
      <c r="PR48" s="31"/>
      <c r="PS48" s="31"/>
      <c r="PT48" s="31"/>
      <c r="PU48" s="31"/>
      <c r="PV48" s="31"/>
      <c r="PW48" s="31"/>
      <c r="PX48" s="31"/>
      <c r="PY48" s="31"/>
      <c r="PZ48" s="31"/>
      <c r="QA48" s="31"/>
      <c r="QB48" s="31"/>
      <c r="QC48" s="31"/>
      <c r="QD48" s="31"/>
      <c r="QE48" s="31"/>
      <c r="QF48" s="31"/>
      <c r="QG48" s="31"/>
      <c r="QH48" s="31"/>
      <c r="QI48" s="31"/>
      <c r="QJ48" s="31"/>
      <c r="QK48" s="31"/>
      <c r="QL48" s="31"/>
      <c r="QM48" s="31"/>
      <c r="QN48" s="31"/>
      <c r="QO48" s="31"/>
      <c r="QP48" s="31"/>
      <c r="QQ48" s="31"/>
      <c r="QR48" s="31"/>
      <c r="QS48" s="31"/>
      <c r="QT48" s="31"/>
      <c r="QU48" s="31"/>
      <c r="QV48" s="31"/>
      <c r="QW48" s="31"/>
      <c r="QX48" s="31"/>
      <c r="QY48" s="31"/>
      <c r="QZ48" s="31"/>
      <c r="RA48" s="31"/>
      <c r="RB48" s="31"/>
      <c r="RC48" s="31"/>
      <c r="RD48" s="31"/>
      <c r="RE48" s="31"/>
      <c r="RF48" s="31"/>
      <c r="RG48" s="31"/>
      <c r="RH48" s="31"/>
      <c r="RI48" s="31"/>
      <c r="RJ48" s="31"/>
      <c r="RK48" s="31"/>
      <c r="RL48" s="31"/>
      <c r="RM48" s="31"/>
      <c r="RN48" s="31"/>
      <c r="RO48" s="31"/>
      <c r="RP48" s="31"/>
      <c r="RQ48" s="31"/>
      <c r="RR48" s="31"/>
      <c r="RS48" s="31"/>
      <c r="RT48" s="31"/>
      <c r="RU48" s="31"/>
      <c r="RV48" s="31"/>
      <c r="RW48" s="31"/>
      <c r="RX48" s="31"/>
      <c r="RY48" s="31"/>
      <c r="RZ48" s="31"/>
      <c r="SA48" s="31"/>
      <c r="SB48" s="31"/>
      <c r="SC48" s="31"/>
      <c r="SD48" s="31"/>
      <c r="SE48" s="31"/>
      <c r="SF48" s="31"/>
      <c r="SG48" s="31"/>
      <c r="SH48" s="31"/>
      <c r="SI48" s="31"/>
      <c r="SJ48" s="82"/>
      <c r="SK48" s="6"/>
    </row>
    <row r="49" ht="14.25" customHeight="1">
      <c r="A49" s="80" t="s">
        <v>567</v>
      </c>
      <c r="B49" s="30" t="s">
        <v>609</v>
      </c>
      <c r="C49" s="81"/>
      <c r="D49" s="74">
        <f t="shared" si="4"/>
        <v>486.7</v>
      </c>
      <c r="E49" s="78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83">
        <v>459.7</v>
      </c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83">
        <v>27.0</v>
      </c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83"/>
      <c r="BU49" s="31"/>
      <c r="BV49" s="31"/>
      <c r="BW49" s="31"/>
      <c r="BX49" s="31"/>
      <c r="BY49" s="31"/>
      <c r="BZ49" s="31"/>
      <c r="CA49" s="31"/>
      <c r="CB49" s="31"/>
      <c r="CC49" s="31"/>
      <c r="CD49" s="83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  <c r="CW49" s="31"/>
      <c r="CX49" s="31"/>
      <c r="CY49" s="31"/>
      <c r="CZ49" s="31"/>
      <c r="DA49" s="31"/>
      <c r="DB49" s="31"/>
      <c r="DC49" s="31"/>
      <c r="DD49" s="31"/>
      <c r="DE49" s="31"/>
      <c r="DF49" s="31"/>
      <c r="DG49" s="31"/>
      <c r="DH49" s="31"/>
      <c r="DI49" s="31"/>
      <c r="DJ49" s="31"/>
      <c r="DK49" s="31"/>
      <c r="DL49" s="31"/>
      <c r="DM49" s="31"/>
      <c r="DN49" s="31"/>
      <c r="DO49" s="31"/>
      <c r="DP49" s="31"/>
      <c r="DQ49" s="31"/>
      <c r="DR49" s="31"/>
      <c r="DS49" s="31"/>
      <c r="DT49" s="31"/>
      <c r="DU49" s="31"/>
      <c r="DV49" s="31"/>
      <c r="DW49" s="31"/>
      <c r="DX49" s="31"/>
      <c r="DY49" s="31"/>
      <c r="DZ49" s="31"/>
      <c r="EA49" s="31"/>
      <c r="EB49" s="31"/>
      <c r="EC49" s="31"/>
      <c r="ED49" s="31"/>
      <c r="EE49" s="31"/>
      <c r="EF49" s="31"/>
      <c r="EG49" s="31"/>
      <c r="EH49" s="31"/>
      <c r="EI49" s="31"/>
      <c r="EJ49" s="31"/>
      <c r="EK49" s="31"/>
      <c r="EL49" s="31"/>
      <c r="EM49" s="31"/>
      <c r="EN49" s="31"/>
      <c r="EO49" s="31"/>
      <c r="EP49" s="31"/>
      <c r="EQ49" s="31"/>
      <c r="ER49" s="31"/>
      <c r="ES49" s="31"/>
      <c r="ET49" s="31"/>
      <c r="EU49" s="31"/>
      <c r="EV49" s="31"/>
      <c r="EW49" s="31"/>
      <c r="EX49" s="31"/>
      <c r="EY49" s="31"/>
      <c r="EZ49" s="31"/>
      <c r="FA49" s="31"/>
      <c r="FB49" s="31"/>
      <c r="FC49" s="31"/>
      <c r="FD49" s="31"/>
      <c r="FE49" s="31"/>
      <c r="FF49" s="31"/>
      <c r="FG49" s="31"/>
      <c r="FH49" s="31"/>
      <c r="FI49" s="31"/>
      <c r="FJ49" s="31"/>
      <c r="FK49" s="31"/>
      <c r="FL49" s="31"/>
      <c r="FM49" s="31"/>
      <c r="FN49" s="31"/>
      <c r="FO49" s="31"/>
      <c r="FP49" s="31"/>
      <c r="FQ49" s="31"/>
      <c r="FR49" s="31"/>
      <c r="FS49" s="31"/>
      <c r="FT49" s="31"/>
      <c r="FU49" s="31"/>
      <c r="FV49" s="31"/>
      <c r="FW49" s="31"/>
      <c r="FX49" s="31"/>
      <c r="FY49" s="31"/>
      <c r="FZ49" s="31"/>
      <c r="GA49" s="31"/>
      <c r="GB49" s="31"/>
      <c r="GC49" s="31"/>
      <c r="GD49" s="31"/>
      <c r="GE49" s="31"/>
      <c r="GF49" s="31"/>
      <c r="GG49" s="31"/>
      <c r="GH49" s="31"/>
      <c r="GI49" s="31"/>
      <c r="GJ49" s="31"/>
      <c r="GK49" s="31"/>
      <c r="GL49" s="31"/>
      <c r="GM49" s="31"/>
      <c r="GN49" s="31"/>
      <c r="GO49" s="31"/>
      <c r="GP49" s="31"/>
      <c r="GQ49" s="31"/>
      <c r="GR49" s="31"/>
      <c r="GS49" s="31"/>
      <c r="GT49" s="31"/>
      <c r="GU49" s="31"/>
      <c r="GV49" s="31"/>
      <c r="GW49" s="31"/>
      <c r="GX49" s="31"/>
      <c r="GY49" s="31"/>
      <c r="GZ49" s="31"/>
      <c r="HA49" s="31"/>
      <c r="HB49" s="31"/>
      <c r="HC49" s="31"/>
      <c r="HD49" s="31"/>
      <c r="HE49" s="31"/>
      <c r="HF49" s="31"/>
      <c r="HG49" s="31"/>
      <c r="HH49" s="31"/>
      <c r="HI49" s="31"/>
      <c r="HJ49" s="31"/>
      <c r="HK49" s="31"/>
      <c r="HL49" s="31"/>
      <c r="HM49" s="31"/>
      <c r="HN49" s="31"/>
      <c r="HO49" s="31"/>
      <c r="HP49" s="31"/>
      <c r="HQ49" s="31"/>
      <c r="HR49" s="31"/>
      <c r="HS49" s="31"/>
      <c r="HT49" s="31"/>
      <c r="HU49" s="31"/>
      <c r="HV49" s="31"/>
      <c r="HW49" s="31"/>
      <c r="HX49" s="31"/>
      <c r="HY49" s="31"/>
      <c r="HZ49" s="31"/>
      <c r="IA49" s="31"/>
      <c r="IB49" s="31"/>
      <c r="IC49" s="31"/>
      <c r="ID49" s="31"/>
      <c r="IE49" s="31"/>
      <c r="IF49" s="31"/>
      <c r="IG49" s="31"/>
      <c r="IH49" s="31"/>
      <c r="II49" s="31"/>
      <c r="IJ49" s="31"/>
      <c r="IK49" s="31"/>
      <c r="IL49" s="31"/>
      <c r="IM49" s="31"/>
      <c r="IN49" s="31"/>
      <c r="IO49" s="31"/>
      <c r="IP49" s="31"/>
      <c r="IQ49" s="31"/>
      <c r="IR49" s="31"/>
      <c r="IS49" s="31"/>
      <c r="IT49" s="31"/>
      <c r="IU49" s="31"/>
      <c r="IV49" s="31"/>
      <c r="IW49" s="31"/>
      <c r="IX49" s="31"/>
      <c r="IY49" s="31"/>
      <c r="IZ49" s="31"/>
      <c r="JA49" s="31"/>
      <c r="JB49" s="31"/>
      <c r="JC49" s="31"/>
      <c r="JD49" s="31"/>
      <c r="JE49" s="31"/>
      <c r="JF49" s="31"/>
      <c r="JG49" s="31"/>
      <c r="JH49" s="31"/>
      <c r="JI49" s="31"/>
      <c r="JJ49" s="31"/>
      <c r="JK49" s="31"/>
      <c r="JL49" s="31"/>
      <c r="JM49" s="31"/>
      <c r="JN49" s="31"/>
      <c r="JO49" s="31"/>
      <c r="JP49" s="31"/>
      <c r="JQ49" s="31"/>
      <c r="JR49" s="31"/>
      <c r="JS49" s="31"/>
      <c r="JT49" s="31"/>
      <c r="JU49" s="31"/>
      <c r="JV49" s="31"/>
      <c r="JW49" s="31"/>
      <c r="JX49" s="31"/>
      <c r="JY49" s="31"/>
      <c r="JZ49" s="31"/>
      <c r="KA49" s="31"/>
      <c r="KB49" s="31"/>
      <c r="KC49" s="31"/>
      <c r="KD49" s="31"/>
      <c r="KE49" s="31"/>
      <c r="KF49" s="31"/>
      <c r="KG49" s="31"/>
      <c r="KH49" s="31"/>
      <c r="KI49" s="31"/>
      <c r="KJ49" s="31"/>
      <c r="KK49" s="31"/>
      <c r="KL49" s="31"/>
      <c r="KM49" s="31"/>
      <c r="KN49" s="31"/>
      <c r="KO49" s="31"/>
      <c r="KP49" s="31"/>
      <c r="KQ49" s="31"/>
      <c r="KR49" s="31"/>
      <c r="KS49" s="31"/>
      <c r="KT49" s="31"/>
      <c r="KU49" s="31"/>
      <c r="KV49" s="31"/>
      <c r="KW49" s="31"/>
      <c r="KX49" s="31"/>
      <c r="KY49" s="31"/>
      <c r="KZ49" s="31"/>
      <c r="LA49" s="31"/>
      <c r="LB49" s="31"/>
      <c r="LC49" s="31"/>
      <c r="LD49" s="31"/>
      <c r="LE49" s="31"/>
      <c r="LF49" s="31"/>
      <c r="LG49" s="31"/>
      <c r="LH49" s="31"/>
      <c r="LI49" s="31"/>
      <c r="LJ49" s="31"/>
      <c r="LK49" s="31"/>
      <c r="LL49" s="31"/>
      <c r="LM49" s="31"/>
      <c r="LN49" s="31"/>
      <c r="LO49" s="31"/>
      <c r="LP49" s="31"/>
      <c r="LQ49" s="31"/>
      <c r="LR49" s="31"/>
      <c r="LS49" s="31"/>
      <c r="LT49" s="31"/>
      <c r="LU49" s="31"/>
      <c r="LV49" s="31"/>
      <c r="LW49" s="31"/>
      <c r="LX49" s="31"/>
      <c r="LY49" s="31"/>
      <c r="LZ49" s="31"/>
      <c r="MA49" s="31"/>
      <c r="MB49" s="31"/>
      <c r="MC49" s="31"/>
      <c r="MD49" s="31"/>
      <c r="ME49" s="31"/>
      <c r="MF49" s="31"/>
      <c r="MG49" s="31"/>
      <c r="MH49" s="31"/>
      <c r="MI49" s="31"/>
      <c r="MJ49" s="31"/>
      <c r="MK49" s="31"/>
      <c r="ML49" s="31"/>
      <c r="MM49" s="31"/>
      <c r="MN49" s="31"/>
      <c r="MO49" s="31"/>
      <c r="MP49" s="31"/>
      <c r="MQ49" s="31"/>
      <c r="MR49" s="31"/>
      <c r="MS49" s="31"/>
      <c r="MT49" s="31"/>
      <c r="MU49" s="31"/>
      <c r="MV49" s="31"/>
      <c r="MW49" s="31"/>
      <c r="MX49" s="31"/>
      <c r="MY49" s="31"/>
      <c r="MZ49" s="31"/>
      <c r="NA49" s="31"/>
      <c r="NB49" s="31"/>
      <c r="NC49" s="31"/>
      <c r="ND49" s="31"/>
      <c r="NE49" s="31"/>
      <c r="NF49" s="31"/>
      <c r="NG49" s="31"/>
      <c r="NH49" s="31"/>
      <c r="NI49" s="31"/>
      <c r="NJ49" s="31"/>
      <c r="NK49" s="31"/>
      <c r="NL49" s="31"/>
      <c r="NM49" s="31"/>
      <c r="NN49" s="31"/>
      <c r="NO49" s="31"/>
      <c r="NP49" s="31"/>
      <c r="NQ49" s="31"/>
      <c r="NR49" s="31"/>
      <c r="NS49" s="31"/>
      <c r="NT49" s="31"/>
      <c r="NU49" s="31"/>
      <c r="NV49" s="31"/>
      <c r="NW49" s="31"/>
      <c r="NX49" s="31"/>
      <c r="NY49" s="31"/>
      <c r="NZ49" s="31"/>
      <c r="OA49" s="31"/>
      <c r="OB49" s="31"/>
      <c r="OC49" s="31"/>
      <c r="OD49" s="31"/>
      <c r="OE49" s="31"/>
      <c r="OF49" s="31"/>
      <c r="OG49" s="31"/>
      <c r="OH49" s="31"/>
      <c r="OI49" s="31"/>
      <c r="OJ49" s="31"/>
      <c r="OK49" s="31"/>
      <c r="OL49" s="31"/>
      <c r="OM49" s="31"/>
      <c r="ON49" s="31"/>
      <c r="OO49" s="31"/>
      <c r="OP49" s="31"/>
      <c r="OQ49" s="31"/>
      <c r="OR49" s="31"/>
      <c r="OS49" s="31"/>
      <c r="OT49" s="31"/>
      <c r="OU49" s="31"/>
      <c r="OV49" s="31"/>
      <c r="OW49" s="31"/>
      <c r="OX49" s="31"/>
      <c r="OY49" s="31"/>
      <c r="OZ49" s="31"/>
      <c r="PA49" s="31"/>
      <c r="PB49" s="31"/>
      <c r="PC49" s="31"/>
      <c r="PD49" s="31"/>
      <c r="PE49" s="31"/>
      <c r="PF49" s="31"/>
      <c r="PG49" s="31"/>
      <c r="PH49" s="31"/>
      <c r="PI49" s="31"/>
      <c r="PJ49" s="31"/>
      <c r="PK49" s="31"/>
      <c r="PL49" s="31"/>
      <c r="PM49" s="31"/>
      <c r="PN49" s="31"/>
      <c r="PO49" s="31"/>
      <c r="PP49" s="31"/>
      <c r="PQ49" s="31"/>
      <c r="PR49" s="31"/>
      <c r="PS49" s="31"/>
      <c r="PT49" s="31"/>
      <c r="PU49" s="31"/>
      <c r="PV49" s="31"/>
      <c r="PW49" s="31"/>
      <c r="PX49" s="31"/>
      <c r="PY49" s="31"/>
      <c r="PZ49" s="31"/>
      <c r="QA49" s="31"/>
      <c r="QB49" s="31"/>
      <c r="QC49" s="31"/>
      <c r="QD49" s="31"/>
      <c r="QE49" s="31"/>
      <c r="QF49" s="31"/>
      <c r="QG49" s="31"/>
      <c r="QH49" s="31"/>
      <c r="QI49" s="31"/>
      <c r="QJ49" s="31"/>
      <c r="QK49" s="31"/>
      <c r="QL49" s="31"/>
      <c r="QM49" s="31"/>
      <c r="QN49" s="31"/>
      <c r="QO49" s="31"/>
      <c r="QP49" s="31"/>
      <c r="QQ49" s="31"/>
      <c r="QR49" s="31"/>
      <c r="QS49" s="31"/>
      <c r="QT49" s="31"/>
      <c r="QU49" s="31"/>
      <c r="QV49" s="31"/>
      <c r="QW49" s="31"/>
      <c r="QX49" s="31"/>
      <c r="QY49" s="31"/>
      <c r="QZ49" s="31"/>
      <c r="RA49" s="31"/>
      <c r="RB49" s="31"/>
      <c r="RC49" s="31"/>
      <c r="RD49" s="31"/>
      <c r="RE49" s="31"/>
      <c r="RF49" s="31"/>
      <c r="RG49" s="31"/>
      <c r="RH49" s="31"/>
      <c r="RI49" s="31"/>
      <c r="RJ49" s="31"/>
      <c r="RK49" s="31"/>
      <c r="RL49" s="31"/>
      <c r="RM49" s="31"/>
      <c r="RN49" s="31"/>
      <c r="RO49" s="31"/>
      <c r="RP49" s="31"/>
      <c r="RQ49" s="31"/>
      <c r="RR49" s="31"/>
      <c r="RS49" s="31"/>
      <c r="RT49" s="31"/>
      <c r="RU49" s="31"/>
      <c r="RV49" s="31"/>
      <c r="RW49" s="31"/>
      <c r="RX49" s="31"/>
      <c r="RY49" s="31"/>
      <c r="RZ49" s="31"/>
      <c r="SA49" s="31"/>
      <c r="SB49" s="31"/>
      <c r="SC49" s="31"/>
      <c r="SD49" s="78"/>
      <c r="SE49" s="31"/>
      <c r="SF49" s="31"/>
      <c r="SG49" s="31"/>
      <c r="SH49" s="31"/>
      <c r="SI49" s="31"/>
      <c r="SJ49" s="82"/>
      <c r="SK49" s="6"/>
    </row>
    <row r="50" ht="14.25" customHeight="1">
      <c r="A50" s="80" t="s">
        <v>567</v>
      </c>
      <c r="B50" s="30" t="s">
        <v>610</v>
      </c>
      <c r="C50" s="81"/>
      <c r="D50" s="74">
        <f t="shared" si="4"/>
        <v>0</v>
      </c>
      <c r="E50" s="78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1"/>
      <c r="DD50" s="31"/>
      <c r="DE50" s="31"/>
      <c r="DF50" s="31"/>
      <c r="DG50" s="31"/>
      <c r="DH50" s="31"/>
      <c r="DI50" s="31"/>
      <c r="DJ50" s="31"/>
      <c r="DK50" s="31"/>
      <c r="DL50" s="31"/>
      <c r="DM50" s="31"/>
      <c r="DN50" s="31"/>
      <c r="DO50" s="31"/>
      <c r="DP50" s="31"/>
      <c r="DQ50" s="31"/>
      <c r="DR50" s="31"/>
      <c r="DS50" s="31"/>
      <c r="DT50" s="31"/>
      <c r="DU50" s="31"/>
      <c r="DV50" s="31"/>
      <c r="DW50" s="31"/>
      <c r="DX50" s="31"/>
      <c r="DY50" s="31"/>
      <c r="DZ50" s="31"/>
      <c r="EA50" s="31"/>
      <c r="EB50" s="31"/>
      <c r="EC50" s="31"/>
      <c r="ED50" s="31"/>
      <c r="EE50" s="31"/>
      <c r="EF50" s="31"/>
      <c r="EG50" s="31"/>
      <c r="EH50" s="31"/>
      <c r="EI50" s="31"/>
      <c r="EJ50" s="31"/>
      <c r="EK50" s="31"/>
      <c r="EL50" s="31"/>
      <c r="EM50" s="31"/>
      <c r="EN50" s="31"/>
      <c r="EO50" s="31"/>
      <c r="EP50" s="31"/>
      <c r="EQ50" s="31"/>
      <c r="ER50" s="31"/>
      <c r="ES50" s="31"/>
      <c r="ET50" s="31"/>
      <c r="EU50" s="31"/>
      <c r="EV50" s="31"/>
      <c r="EW50" s="31"/>
      <c r="EX50" s="31"/>
      <c r="EY50" s="31"/>
      <c r="EZ50" s="31"/>
      <c r="FA50" s="31"/>
      <c r="FB50" s="31"/>
      <c r="FC50" s="31"/>
      <c r="FD50" s="31"/>
      <c r="FE50" s="31"/>
      <c r="FF50" s="31"/>
      <c r="FG50" s="31"/>
      <c r="FH50" s="31"/>
      <c r="FI50" s="31"/>
      <c r="FJ50" s="31"/>
      <c r="FK50" s="31"/>
      <c r="FL50" s="31"/>
      <c r="FM50" s="31"/>
      <c r="FN50" s="31"/>
      <c r="FO50" s="31"/>
      <c r="FP50" s="31"/>
      <c r="FQ50" s="31"/>
      <c r="FR50" s="31"/>
      <c r="FS50" s="31"/>
      <c r="FT50" s="31"/>
      <c r="FU50" s="31"/>
      <c r="FV50" s="31"/>
      <c r="FW50" s="31"/>
      <c r="FX50" s="31"/>
      <c r="FY50" s="31"/>
      <c r="FZ50" s="31"/>
      <c r="GA50" s="31"/>
      <c r="GB50" s="31"/>
      <c r="GC50" s="31"/>
      <c r="GD50" s="31"/>
      <c r="GE50" s="31"/>
      <c r="GF50" s="31"/>
      <c r="GG50" s="31"/>
      <c r="GH50" s="31"/>
      <c r="GI50" s="31"/>
      <c r="GJ50" s="31"/>
      <c r="GK50" s="31"/>
      <c r="GL50" s="31"/>
      <c r="GM50" s="31"/>
      <c r="GN50" s="31"/>
      <c r="GO50" s="31"/>
      <c r="GP50" s="31"/>
      <c r="GQ50" s="31"/>
      <c r="GR50" s="31"/>
      <c r="GS50" s="31"/>
      <c r="GT50" s="31"/>
      <c r="GU50" s="31"/>
      <c r="GV50" s="31"/>
      <c r="GW50" s="31"/>
      <c r="GX50" s="31"/>
      <c r="GY50" s="31"/>
      <c r="GZ50" s="31"/>
      <c r="HA50" s="31"/>
      <c r="HB50" s="31"/>
      <c r="HC50" s="31"/>
      <c r="HD50" s="31"/>
      <c r="HE50" s="31"/>
      <c r="HF50" s="31"/>
      <c r="HG50" s="31"/>
      <c r="HH50" s="31"/>
      <c r="HI50" s="31"/>
      <c r="HJ50" s="31"/>
      <c r="HK50" s="31"/>
      <c r="HL50" s="31"/>
      <c r="HM50" s="31"/>
      <c r="HN50" s="31"/>
      <c r="HO50" s="31"/>
      <c r="HP50" s="31"/>
      <c r="HQ50" s="31"/>
      <c r="HR50" s="31"/>
      <c r="HS50" s="31"/>
      <c r="HT50" s="31"/>
      <c r="HU50" s="31"/>
      <c r="HV50" s="31"/>
      <c r="HW50" s="31"/>
      <c r="HX50" s="31"/>
      <c r="HY50" s="31"/>
      <c r="HZ50" s="31"/>
      <c r="IA50" s="31"/>
      <c r="IB50" s="31"/>
      <c r="IC50" s="31"/>
      <c r="ID50" s="31"/>
      <c r="IE50" s="31"/>
      <c r="IF50" s="31"/>
      <c r="IG50" s="31"/>
      <c r="IH50" s="31"/>
      <c r="II50" s="31"/>
      <c r="IJ50" s="31"/>
      <c r="IK50" s="31"/>
      <c r="IL50" s="31"/>
      <c r="IM50" s="31"/>
      <c r="IN50" s="31"/>
      <c r="IO50" s="31"/>
      <c r="IP50" s="31"/>
      <c r="IQ50" s="31"/>
      <c r="IR50" s="31"/>
      <c r="IS50" s="31"/>
      <c r="IT50" s="31"/>
      <c r="IU50" s="31"/>
      <c r="IV50" s="31"/>
      <c r="IW50" s="31"/>
      <c r="IX50" s="31"/>
      <c r="IY50" s="31"/>
      <c r="IZ50" s="31"/>
      <c r="JA50" s="31"/>
      <c r="JB50" s="31"/>
      <c r="JC50" s="31"/>
      <c r="JD50" s="31"/>
      <c r="JE50" s="31"/>
      <c r="JF50" s="31"/>
      <c r="JG50" s="31"/>
      <c r="JH50" s="31"/>
      <c r="JI50" s="31"/>
      <c r="JJ50" s="31"/>
      <c r="JK50" s="31"/>
      <c r="JL50" s="31"/>
      <c r="JM50" s="31"/>
      <c r="JN50" s="31"/>
      <c r="JO50" s="31"/>
      <c r="JP50" s="31"/>
      <c r="JQ50" s="31"/>
      <c r="JR50" s="31"/>
      <c r="JS50" s="31"/>
      <c r="JT50" s="31"/>
      <c r="JU50" s="31"/>
      <c r="JV50" s="31"/>
      <c r="JW50" s="31"/>
      <c r="JX50" s="31"/>
      <c r="JY50" s="31"/>
      <c r="JZ50" s="31"/>
      <c r="KA50" s="31"/>
      <c r="KB50" s="31"/>
      <c r="KC50" s="31"/>
      <c r="KD50" s="31"/>
      <c r="KE50" s="31"/>
      <c r="KF50" s="31"/>
      <c r="KG50" s="31"/>
      <c r="KH50" s="31"/>
      <c r="KI50" s="31"/>
      <c r="KJ50" s="31"/>
      <c r="KK50" s="31"/>
      <c r="KL50" s="31"/>
      <c r="KM50" s="31"/>
      <c r="KN50" s="31"/>
      <c r="KO50" s="31"/>
      <c r="KP50" s="31"/>
      <c r="KQ50" s="31"/>
      <c r="KR50" s="31"/>
      <c r="KS50" s="31"/>
      <c r="KT50" s="31"/>
      <c r="KU50" s="31"/>
      <c r="KV50" s="31"/>
      <c r="KW50" s="31"/>
      <c r="KX50" s="31"/>
      <c r="KY50" s="31"/>
      <c r="KZ50" s="31"/>
      <c r="LA50" s="31"/>
      <c r="LB50" s="31"/>
      <c r="LC50" s="31"/>
      <c r="LD50" s="31"/>
      <c r="LE50" s="31"/>
      <c r="LF50" s="31"/>
      <c r="LG50" s="31"/>
      <c r="LH50" s="31"/>
      <c r="LI50" s="31"/>
      <c r="LJ50" s="31"/>
      <c r="LK50" s="31"/>
      <c r="LL50" s="31"/>
      <c r="LM50" s="31"/>
      <c r="LN50" s="31"/>
      <c r="LO50" s="31"/>
      <c r="LP50" s="31"/>
      <c r="LQ50" s="31"/>
      <c r="LR50" s="31"/>
      <c r="LS50" s="31"/>
      <c r="LT50" s="31"/>
      <c r="LU50" s="31"/>
      <c r="LV50" s="31"/>
      <c r="LW50" s="31"/>
      <c r="LX50" s="31"/>
      <c r="LY50" s="31"/>
      <c r="LZ50" s="31"/>
      <c r="MA50" s="31"/>
      <c r="MB50" s="31"/>
      <c r="MC50" s="31"/>
      <c r="MD50" s="31"/>
      <c r="ME50" s="31"/>
      <c r="MF50" s="31"/>
      <c r="MG50" s="31"/>
      <c r="MH50" s="31"/>
      <c r="MI50" s="31"/>
      <c r="MJ50" s="31"/>
      <c r="MK50" s="31"/>
      <c r="ML50" s="31"/>
      <c r="MM50" s="31"/>
      <c r="MN50" s="31"/>
      <c r="MO50" s="31"/>
      <c r="MP50" s="31"/>
      <c r="MQ50" s="31"/>
      <c r="MR50" s="31"/>
      <c r="MS50" s="31"/>
      <c r="MT50" s="31"/>
      <c r="MU50" s="31"/>
      <c r="MV50" s="31"/>
      <c r="MW50" s="31"/>
      <c r="MX50" s="31"/>
      <c r="MY50" s="31"/>
      <c r="MZ50" s="31"/>
      <c r="NA50" s="31"/>
      <c r="NB50" s="31"/>
      <c r="NC50" s="31"/>
      <c r="ND50" s="31"/>
      <c r="NE50" s="31"/>
      <c r="NF50" s="31"/>
      <c r="NG50" s="31"/>
      <c r="NH50" s="31"/>
      <c r="NI50" s="31"/>
      <c r="NJ50" s="31"/>
      <c r="NK50" s="31"/>
      <c r="NL50" s="31"/>
      <c r="NM50" s="31"/>
      <c r="NN50" s="31"/>
      <c r="NO50" s="31"/>
      <c r="NP50" s="31"/>
      <c r="NQ50" s="31"/>
      <c r="NR50" s="31"/>
      <c r="NS50" s="31"/>
      <c r="NT50" s="31"/>
      <c r="NU50" s="31"/>
      <c r="NV50" s="31"/>
      <c r="NW50" s="31"/>
      <c r="NX50" s="31"/>
      <c r="NY50" s="31"/>
      <c r="NZ50" s="31"/>
      <c r="OA50" s="31"/>
      <c r="OB50" s="31"/>
      <c r="OC50" s="31"/>
      <c r="OD50" s="31"/>
      <c r="OE50" s="31"/>
      <c r="OF50" s="31"/>
      <c r="OG50" s="31"/>
      <c r="OH50" s="31"/>
      <c r="OI50" s="31"/>
      <c r="OJ50" s="31"/>
      <c r="OK50" s="31"/>
      <c r="OL50" s="31"/>
      <c r="OM50" s="31"/>
      <c r="ON50" s="31"/>
      <c r="OO50" s="31"/>
      <c r="OP50" s="31"/>
      <c r="OQ50" s="31"/>
      <c r="OR50" s="31"/>
      <c r="OS50" s="31"/>
      <c r="OT50" s="31"/>
      <c r="OU50" s="31"/>
      <c r="OV50" s="31"/>
      <c r="OW50" s="31"/>
      <c r="OX50" s="31"/>
      <c r="OY50" s="31"/>
      <c r="OZ50" s="31"/>
      <c r="PA50" s="31"/>
      <c r="PB50" s="31"/>
      <c r="PC50" s="31"/>
      <c r="PD50" s="31"/>
      <c r="PE50" s="31"/>
      <c r="PF50" s="31"/>
      <c r="PG50" s="31"/>
      <c r="PH50" s="31"/>
      <c r="PI50" s="31"/>
      <c r="PJ50" s="31"/>
      <c r="PK50" s="31"/>
      <c r="PL50" s="31"/>
      <c r="PM50" s="31"/>
      <c r="PN50" s="31"/>
      <c r="PO50" s="31"/>
      <c r="PP50" s="31"/>
      <c r="PQ50" s="31"/>
      <c r="PR50" s="31"/>
      <c r="PS50" s="31"/>
      <c r="PT50" s="31"/>
      <c r="PU50" s="31"/>
      <c r="PV50" s="31"/>
      <c r="PW50" s="31"/>
      <c r="PX50" s="31"/>
      <c r="PY50" s="31"/>
      <c r="PZ50" s="31"/>
      <c r="QA50" s="31"/>
      <c r="QB50" s="31"/>
      <c r="QC50" s="31"/>
      <c r="QD50" s="31"/>
      <c r="QE50" s="31"/>
      <c r="QF50" s="31"/>
      <c r="QG50" s="31"/>
      <c r="QH50" s="31"/>
      <c r="QI50" s="31"/>
      <c r="QJ50" s="31"/>
      <c r="QK50" s="31"/>
      <c r="QL50" s="31"/>
      <c r="QM50" s="31"/>
      <c r="QN50" s="31"/>
      <c r="QO50" s="31"/>
      <c r="QP50" s="31"/>
      <c r="QQ50" s="31"/>
      <c r="QR50" s="31"/>
      <c r="QS50" s="31"/>
      <c r="QT50" s="31"/>
      <c r="QU50" s="31"/>
      <c r="QV50" s="31"/>
      <c r="QW50" s="31"/>
      <c r="QX50" s="31"/>
      <c r="QY50" s="31"/>
      <c r="QZ50" s="31"/>
      <c r="RA50" s="31"/>
      <c r="RB50" s="31"/>
      <c r="RC50" s="31"/>
      <c r="RD50" s="31"/>
      <c r="RE50" s="31"/>
      <c r="RF50" s="31"/>
      <c r="RG50" s="31"/>
      <c r="RH50" s="31"/>
      <c r="RI50" s="31"/>
      <c r="RJ50" s="31"/>
      <c r="RK50" s="31"/>
      <c r="RL50" s="31"/>
      <c r="RM50" s="31"/>
      <c r="RN50" s="31"/>
      <c r="RO50" s="31"/>
      <c r="RP50" s="31"/>
      <c r="RQ50" s="31"/>
      <c r="RR50" s="31"/>
      <c r="RS50" s="31"/>
      <c r="RT50" s="31"/>
      <c r="RU50" s="31"/>
      <c r="RV50" s="31"/>
      <c r="RW50" s="31"/>
      <c r="RX50" s="31"/>
      <c r="RY50" s="31"/>
      <c r="RZ50" s="31"/>
      <c r="SA50" s="31"/>
      <c r="SB50" s="31"/>
      <c r="SC50" s="31"/>
      <c r="SD50" s="78"/>
      <c r="SE50" s="31"/>
      <c r="SF50" s="31"/>
      <c r="SG50" s="31"/>
      <c r="SH50" s="31"/>
      <c r="SI50" s="31"/>
      <c r="SJ50" s="82"/>
      <c r="SK50" s="6"/>
    </row>
    <row r="51" ht="14.25" customHeight="1">
      <c r="A51" s="80" t="s">
        <v>567</v>
      </c>
      <c r="B51" s="30" t="s">
        <v>611</v>
      </c>
      <c r="C51" s="81"/>
      <c r="D51" s="74">
        <f t="shared" si="4"/>
        <v>0</v>
      </c>
      <c r="E51" s="78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  <c r="CW51" s="31"/>
      <c r="CX51" s="31"/>
      <c r="CY51" s="31"/>
      <c r="CZ51" s="31"/>
      <c r="DA51" s="31"/>
      <c r="DB51" s="31"/>
      <c r="DC51" s="31"/>
      <c r="DD51" s="31"/>
      <c r="DE51" s="31"/>
      <c r="DF51" s="31"/>
      <c r="DG51" s="31"/>
      <c r="DH51" s="31"/>
      <c r="DI51" s="31"/>
      <c r="DJ51" s="31"/>
      <c r="DK51" s="31"/>
      <c r="DL51" s="31"/>
      <c r="DM51" s="31"/>
      <c r="DN51" s="31"/>
      <c r="DO51" s="31"/>
      <c r="DP51" s="31"/>
      <c r="DQ51" s="31"/>
      <c r="DR51" s="31"/>
      <c r="DS51" s="31"/>
      <c r="DT51" s="31"/>
      <c r="DU51" s="31"/>
      <c r="DV51" s="31"/>
      <c r="DW51" s="31"/>
      <c r="DX51" s="31"/>
      <c r="DY51" s="31"/>
      <c r="DZ51" s="31"/>
      <c r="EA51" s="31"/>
      <c r="EB51" s="31"/>
      <c r="EC51" s="31"/>
      <c r="ED51" s="31"/>
      <c r="EE51" s="31"/>
      <c r="EF51" s="31"/>
      <c r="EG51" s="31"/>
      <c r="EH51" s="31"/>
      <c r="EI51" s="31"/>
      <c r="EJ51" s="31"/>
      <c r="EK51" s="31"/>
      <c r="EL51" s="31"/>
      <c r="EM51" s="31"/>
      <c r="EN51" s="31"/>
      <c r="EO51" s="31"/>
      <c r="EP51" s="31"/>
      <c r="EQ51" s="31"/>
      <c r="ER51" s="31"/>
      <c r="ES51" s="31"/>
      <c r="ET51" s="31"/>
      <c r="EU51" s="31"/>
      <c r="EV51" s="31"/>
      <c r="EW51" s="31"/>
      <c r="EX51" s="31"/>
      <c r="EY51" s="31"/>
      <c r="EZ51" s="31"/>
      <c r="FA51" s="31"/>
      <c r="FB51" s="31"/>
      <c r="FC51" s="31"/>
      <c r="FD51" s="31"/>
      <c r="FE51" s="31"/>
      <c r="FF51" s="31"/>
      <c r="FG51" s="31"/>
      <c r="FH51" s="31"/>
      <c r="FI51" s="31"/>
      <c r="FJ51" s="31"/>
      <c r="FK51" s="31"/>
      <c r="FL51" s="31"/>
      <c r="FM51" s="31"/>
      <c r="FN51" s="31"/>
      <c r="FO51" s="31"/>
      <c r="FP51" s="31"/>
      <c r="FQ51" s="31"/>
      <c r="FR51" s="31"/>
      <c r="FS51" s="31"/>
      <c r="FT51" s="31"/>
      <c r="FU51" s="31"/>
      <c r="FV51" s="31"/>
      <c r="FW51" s="31"/>
      <c r="FX51" s="31"/>
      <c r="FY51" s="31"/>
      <c r="FZ51" s="31"/>
      <c r="GA51" s="31"/>
      <c r="GB51" s="31"/>
      <c r="GC51" s="31"/>
      <c r="GD51" s="31"/>
      <c r="GE51" s="31"/>
      <c r="GF51" s="31"/>
      <c r="GG51" s="31"/>
      <c r="GH51" s="31"/>
      <c r="GI51" s="31"/>
      <c r="GJ51" s="31"/>
      <c r="GK51" s="31"/>
      <c r="GL51" s="31"/>
      <c r="GM51" s="31"/>
      <c r="GN51" s="31"/>
      <c r="GO51" s="31"/>
      <c r="GP51" s="31"/>
      <c r="GQ51" s="31"/>
      <c r="GR51" s="31"/>
      <c r="GS51" s="31"/>
      <c r="GT51" s="31"/>
      <c r="GU51" s="31"/>
      <c r="GV51" s="31"/>
      <c r="GW51" s="31"/>
      <c r="GX51" s="31"/>
      <c r="GY51" s="31"/>
      <c r="GZ51" s="31"/>
      <c r="HA51" s="31"/>
      <c r="HB51" s="31"/>
      <c r="HC51" s="31"/>
      <c r="HD51" s="31"/>
      <c r="HE51" s="31"/>
      <c r="HF51" s="31"/>
      <c r="HG51" s="31"/>
      <c r="HH51" s="31"/>
      <c r="HI51" s="31"/>
      <c r="HJ51" s="31"/>
      <c r="HK51" s="31"/>
      <c r="HL51" s="31"/>
      <c r="HM51" s="31"/>
      <c r="HN51" s="31"/>
      <c r="HO51" s="31"/>
      <c r="HP51" s="31"/>
      <c r="HQ51" s="31"/>
      <c r="HR51" s="31"/>
      <c r="HS51" s="31"/>
      <c r="HT51" s="31"/>
      <c r="HU51" s="31"/>
      <c r="HV51" s="31"/>
      <c r="HW51" s="31"/>
      <c r="HX51" s="31"/>
      <c r="HY51" s="31"/>
      <c r="HZ51" s="31"/>
      <c r="IA51" s="31"/>
      <c r="IB51" s="31"/>
      <c r="IC51" s="31"/>
      <c r="ID51" s="31"/>
      <c r="IE51" s="31"/>
      <c r="IF51" s="31"/>
      <c r="IG51" s="31"/>
      <c r="IH51" s="31"/>
      <c r="II51" s="31"/>
      <c r="IJ51" s="31"/>
      <c r="IK51" s="31"/>
      <c r="IL51" s="31"/>
      <c r="IM51" s="31"/>
      <c r="IN51" s="31"/>
      <c r="IO51" s="31"/>
      <c r="IP51" s="31"/>
      <c r="IQ51" s="31"/>
      <c r="IR51" s="31"/>
      <c r="IS51" s="31"/>
      <c r="IT51" s="31"/>
      <c r="IU51" s="31"/>
      <c r="IV51" s="31"/>
      <c r="IW51" s="31"/>
      <c r="IX51" s="31"/>
      <c r="IY51" s="31"/>
      <c r="IZ51" s="31"/>
      <c r="JA51" s="31"/>
      <c r="JB51" s="31"/>
      <c r="JC51" s="31"/>
      <c r="JD51" s="31"/>
      <c r="JE51" s="31"/>
      <c r="JF51" s="31"/>
      <c r="JG51" s="31"/>
      <c r="JH51" s="31"/>
      <c r="JI51" s="31"/>
      <c r="JJ51" s="31"/>
      <c r="JK51" s="31"/>
      <c r="JL51" s="31"/>
      <c r="JM51" s="31"/>
      <c r="JN51" s="31"/>
      <c r="JO51" s="31"/>
      <c r="JP51" s="31"/>
      <c r="JQ51" s="31"/>
      <c r="JR51" s="31"/>
      <c r="JS51" s="31"/>
      <c r="JT51" s="31"/>
      <c r="JU51" s="31"/>
      <c r="JV51" s="31"/>
      <c r="JW51" s="31"/>
      <c r="JX51" s="31"/>
      <c r="JY51" s="31"/>
      <c r="JZ51" s="31"/>
      <c r="KA51" s="31"/>
      <c r="KB51" s="31"/>
      <c r="KC51" s="31"/>
      <c r="KD51" s="31"/>
      <c r="KE51" s="31"/>
      <c r="KF51" s="31"/>
      <c r="KG51" s="31"/>
      <c r="KH51" s="31"/>
      <c r="KI51" s="31"/>
      <c r="KJ51" s="31"/>
      <c r="KK51" s="31"/>
      <c r="KL51" s="31"/>
      <c r="KM51" s="31"/>
      <c r="KN51" s="31"/>
      <c r="KO51" s="31"/>
      <c r="KP51" s="31"/>
      <c r="KQ51" s="31"/>
      <c r="KR51" s="31"/>
      <c r="KS51" s="31"/>
      <c r="KT51" s="31"/>
      <c r="KU51" s="31"/>
      <c r="KV51" s="31"/>
      <c r="KW51" s="31"/>
      <c r="KX51" s="31"/>
      <c r="KY51" s="31"/>
      <c r="KZ51" s="31"/>
      <c r="LA51" s="31"/>
      <c r="LB51" s="31"/>
      <c r="LC51" s="31"/>
      <c r="LD51" s="31"/>
      <c r="LE51" s="31"/>
      <c r="LF51" s="31"/>
      <c r="LG51" s="31"/>
      <c r="LH51" s="31"/>
      <c r="LI51" s="31"/>
      <c r="LJ51" s="31"/>
      <c r="LK51" s="31"/>
      <c r="LL51" s="31"/>
      <c r="LM51" s="31"/>
      <c r="LN51" s="31"/>
      <c r="LO51" s="31"/>
      <c r="LP51" s="31"/>
      <c r="LQ51" s="31"/>
      <c r="LR51" s="31"/>
      <c r="LS51" s="31"/>
      <c r="LT51" s="31"/>
      <c r="LU51" s="31"/>
      <c r="LV51" s="31"/>
      <c r="LW51" s="31"/>
      <c r="LX51" s="31"/>
      <c r="LY51" s="31"/>
      <c r="LZ51" s="31"/>
      <c r="MA51" s="31"/>
      <c r="MB51" s="31"/>
      <c r="MC51" s="31"/>
      <c r="MD51" s="31"/>
      <c r="ME51" s="31"/>
      <c r="MF51" s="31"/>
      <c r="MG51" s="31"/>
      <c r="MH51" s="31"/>
      <c r="MI51" s="31"/>
      <c r="MJ51" s="31"/>
      <c r="MK51" s="31"/>
      <c r="ML51" s="31"/>
      <c r="MM51" s="31"/>
      <c r="MN51" s="31"/>
      <c r="MO51" s="31"/>
      <c r="MP51" s="31"/>
      <c r="MQ51" s="31"/>
      <c r="MR51" s="31"/>
      <c r="MS51" s="31"/>
      <c r="MT51" s="31"/>
      <c r="MU51" s="31"/>
      <c r="MV51" s="31"/>
      <c r="MW51" s="31"/>
      <c r="MX51" s="31"/>
      <c r="MY51" s="31"/>
      <c r="MZ51" s="31"/>
      <c r="NA51" s="31"/>
      <c r="NB51" s="31"/>
      <c r="NC51" s="31"/>
      <c r="ND51" s="31"/>
      <c r="NE51" s="31"/>
      <c r="NF51" s="31"/>
      <c r="NG51" s="31"/>
      <c r="NH51" s="31"/>
      <c r="NI51" s="31"/>
      <c r="NJ51" s="31"/>
      <c r="NK51" s="31"/>
      <c r="NL51" s="31"/>
      <c r="NM51" s="31"/>
      <c r="NN51" s="31"/>
      <c r="NO51" s="31"/>
      <c r="NP51" s="31"/>
      <c r="NQ51" s="31"/>
      <c r="NR51" s="31"/>
      <c r="NS51" s="31"/>
      <c r="NT51" s="31"/>
      <c r="NU51" s="31"/>
      <c r="NV51" s="31"/>
      <c r="NW51" s="31"/>
      <c r="NX51" s="31"/>
      <c r="NY51" s="31"/>
      <c r="NZ51" s="31"/>
      <c r="OA51" s="31"/>
      <c r="OB51" s="31"/>
      <c r="OC51" s="31"/>
      <c r="OD51" s="31"/>
      <c r="OE51" s="31"/>
      <c r="OF51" s="31"/>
      <c r="OG51" s="31"/>
      <c r="OH51" s="31"/>
      <c r="OI51" s="31"/>
      <c r="OJ51" s="31"/>
      <c r="OK51" s="31"/>
      <c r="OL51" s="31"/>
      <c r="OM51" s="31"/>
      <c r="ON51" s="31"/>
      <c r="OO51" s="31"/>
      <c r="OP51" s="31"/>
      <c r="OQ51" s="31"/>
      <c r="OR51" s="31"/>
      <c r="OS51" s="31"/>
      <c r="OT51" s="31"/>
      <c r="OU51" s="31"/>
      <c r="OV51" s="31"/>
      <c r="OW51" s="31"/>
      <c r="OX51" s="31"/>
      <c r="OY51" s="31"/>
      <c r="OZ51" s="31"/>
      <c r="PA51" s="31"/>
      <c r="PB51" s="31"/>
      <c r="PC51" s="31"/>
      <c r="PD51" s="31"/>
      <c r="PE51" s="31"/>
      <c r="PF51" s="31"/>
      <c r="PG51" s="31"/>
      <c r="PH51" s="31"/>
      <c r="PI51" s="31"/>
      <c r="PJ51" s="31"/>
      <c r="PK51" s="31"/>
      <c r="PL51" s="31"/>
      <c r="PM51" s="31"/>
      <c r="PN51" s="31"/>
      <c r="PO51" s="31"/>
      <c r="PP51" s="31"/>
      <c r="PQ51" s="31"/>
      <c r="PR51" s="31"/>
      <c r="PS51" s="31"/>
      <c r="PT51" s="31"/>
      <c r="PU51" s="31"/>
      <c r="PV51" s="31"/>
      <c r="PW51" s="31"/>
      <c r="PX51" s="31"/>
      <c r="PY51" s="31"/>
      <c r="PZ51" s="31"/>
      <c r="QA51" s="31"/>
      <c r="QB51" s="31"/>
      <c r="QC51" s="31"/>
      <c r="QD51" s="31"/>
      <c r="QE51" s="31"/>
      <c r="QF51" s="31"/>
      <c r="QG51" s="31"/>
      <c r="QH51" s="31"/>
      <c r="QI51" s="31"/>
      <c r="QJ51" s="31"/>
      <c r="QK51" s="31"/>
      <c r="QL51" s="31"/>
      <c r="QM51" s="31"/>
      <c r="QN51" s="31"/>
      <c r="QO51" s="31"/>
      <c r="QP51" s="31"/>
      <c r="QQ51" s="31"/>
      <c r="QR51" s="31"/>
      <c r="QS51" s="31"/>
      <c r="QT51" s="31"/>
      <c r="QU51" s="31"/>
      <c r="QV51" s="31"/>
      <c r="QW51" s="31"/>
      <c r="QX51" s="31"/>
      <c r="QY51" s="31"/>
      <c r="QZ51" s="31"/>
      <c r="RA51" s="31"/>
      <c r="RB51" s="31"/>
      <c r="RC51" s="31"/>
      <c r="RD51" s="31"/>
      <c r="RE51" s="31"/>
      <c r="RF51" s="31"/>
      <c r="RG51" s="31"/>
      <c r="RH51" s="31"/>
      <c r="RI51" s="31"/>
      <c r="RJ51" s="31"/>
      <c r="RK51" s="31"/>
      <c r="RL51" s="31"/>
      <c r="RM51" s="31"/>
      <c r="RN51" s="31"/>
      <c r="RO51" s="31"/>
      <c r="RP51" s="31"/>
      <c r="RQ51" s="31"/>
      <c r="RR51" s="31"/>
      <c r="RS51" s="31"/>
      <c r="RT51" s="31"/>
      <c r="RU51" s="31"/>
      <c r="RV51" s="31"/>
      <c r="RW51" s="31"/>
      <c r="RX51" s="31"/>
      <c r="RY51" s="31"/>
      <c r="RZ51" s="31"/>
      <c r="SA51" s="31"/>
      <c r="SB51" s="31"/>
      <c r="SC51" s="31"/>
      <c r="SD51" s="78"/>
      <c r="SE51" s="31"/>
      <c r="SF51" s="31"/>
      <c r="SG51" s="31"/>
      <c r="SH51" s="31"/>
      <c r="SI51" s="31"/>
      <c r="SJ51" s="82"/>
      <c r="SK51" s="6"/>
    </row>
    <row r="52" ht="14.25" customHeight="1">
      <c r="A52" s="80" t="s">
        <v>567</v>
      </c>
      <c r="B52" s="30" t="s">
        <v>612</v>
      </c>
      <c r="C52" s="81"/>
      <c r="D52" s="74">
        <f t="shared" si="4"/>
        <v>0</v>
      </c>
      <c r="E52" s="78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  <c r="CW52" s="31"/>
      <c r="CX52" s="31"/>
      <c r="CY52" s="31"/>
      <c r="CZ52" s="31"/>
      <c r="DA52" s="31"/>
      <c r="DB52" s="31"/>
      <c r="DC52" s="31"/>
      <c r="DD52" s="31"/>
      <c r="DE52" s="31"/>
      <c r="DF52" s="31"/>
      <c r="DG52" s="31"/>
      <c r="DH52" s="31"/>
      <c r="DI52" s="31"/>
      <c r="DJ52" s="31"/>
      <c r="DK52" s="31"/>
      <c r="DL52" s="31"/>
      <c r="DM52" s="31"/>
      <c r="DN52" s="31"/>
      <c r="DO52" s="31"/>
      <c r="DP52" s="31"/>
      <c r="DQ52" s="31"/>
      <c r="DR52" s="31"/>
      <c r="DS52" s="31"/>
      <c r="DT52" s="31"/>
      <c r="DU52" s="31"/>
      <c r="DV52" s="31"/>
      <c r="DW52" s="31"/>
      <c r="DX52" s="31"/>
      <c r="DY52" s="31"/>
      <c r="DZ52" s="31"/>
      <c r="EA52" s="31"/>
      <c r="EB52" s="31"/>
      <c r="EC52" s="31"/>
      <c r="ED52" s="31"/>
      <c r="EE52" s="31"/>
      <c r="EF52" s="31"/>
      <c r="EG52" s="31"/>
      <c r="EH52" s="31"/>
      <c r="EI52" s="31"/>
      <c r="EJ52" s="31"/>
      <c r="EK52" s="31"/>
      <c r="EL52" s="31"/>
      <c r="EM52" s="31"/>
      <c r="EN52" s="31"/>
      <c r="EO52" s="31"/>
      <c r="EP52" s="31"/>
      <c r="EQ52" s="31"/>
      <c r="ER52" s="31"/>
      <c r="ES52" s="31"/>
      <c r="ET52" s="31"/>
      <c r="EU52" s="31"/>
      <c r="EV52" s="31"/>
      <c r="EW52" s="31"/>
      <c r="EX52" s="31"/>
      <c r="EY52" s="31"/>
      <c r="EZ52" s="31"/>
      <c r="FA52" s="31"/>
      <c r="FB52" s="31"/>
      <c r="FC52" s="31"/>
      <c r="FD52" s="31"/>
      <c r="FE52" s="31"/>
      <c r="FF52" s="31"/>
      <c r="FG52" s="31"/>
      <c r="FH52" s="31"/>
      <c r="FI52" s="31"/>
      <c r="FJ52" s="31"/>
      <c r="FK52" s="31"/>
      <c r="FL52" s="31"/>
      <c r="FM52" s="31"/>
      <c r="FN52" s="31"/>
      <c r="FO52" s="31"/>
      <c r="FP52" s="31"/>
      <c r="FQ52" s="31"/>
      <c r="FR52" s="31"/>
      <c r="FS52" s="31"/>
      <c r="FT52" s="31"/>
      <c r="FU52" s="31"/>
      <c r="FV52" s="31"/>
      <c r="FW52" s="31"/>
      <c r="FX52" s="31"/>
      <c r="FY52" s="31"/>
      <c r="FZ52" s="31"/>
      <c r="GA52" s="31"/>
      <c r="GB52" s="31"/>
      <c r="GC52" s="31"/>
      <c r="GD52" s="31"/>
      <c r="GE52" s="31"/>
      <c r="GF52" s="31"/>
      <c r="GG52" s="31"/>
      <c r="GH52" s="31"/>
      <c r="GI52" s="31"/>
      <c r="GJ52" s="31"/>
      <c r="GK52" s="31"/>
      <c r="GL52" s="31"/>
      <c r="GM52" s="31"/>
      <c r="GN52" s="31"/>
      <c r="GO52" s="31"/>
      <c r="GP52" s="31"/>
      <c r="GQ52" s="31"/>
      <c r="GR52" s="31"/>
      <c r="GS52" s="31"/>
      <c r="GT52" s="31"/>
      <c r="GU52" s="31"/>
      <c r="GV52" s="31"/>
      <c r="GW52" s="31"/>
      <c r="GX52" s="31"/>
      <c r="GY52" s="31"/>
      <c r="GZ52" s="31"/>
      <c r="HA52" s="31"/>
      <c r="HB52" s="31"/>
      <c r="HC52" s="31"/>
      <c r="HD52" s="31"/>
      <c r="HE52" s="31"/>
      <c r="HF52" s="31"/>
      <c r="HG52" s="31"/>
      <c r="HH52" s="31"/>
      <c r="HI52" s="31"/>
      <c r="HJ52" s="31"/>
      <c r="HK52" s="31"/>
      <c r="HL52" s="31"/>
      <c r="HM52" s="31"/>
      <c r="HN52" s="31"/>
      <c r="HO52" s="31"/>
      <c r="HP52" s="31"/>
      <c r="HQ52" s="31"/>
      <c r="HR52" s="31"/>
      <c r="HS52" s="31"/>
      <c r="HT52" s="31"/>
      <c r="HU52" s="31"/>
      <c r="HV52" s="31"/>
      <c r="HW52" s="31"/>
      <c r="HX52" s="31"/>
      <c r="HY52" s="31"/>
      <c r="HZ52" s="31"/>
      <c r="IA52" s="31"/>
      <c r="IB52" s="31"/>
      <c r="IC52" s="31"/>
      <c r="ID52" s="31"/>
      <c r="IE52" s="31"/>
      <c r="IF52" s="31"/>
      <c r="IG52" s="31"/>
      <c r="IH52" s="31"/>
      <c r="II52" s="31"/>
      <c r="IJ52" s="31"/>
      <c r="IK52" s="31"/>
      <c r="IL52" s="31"/>
      <c r="IM52" s="31"/>
      <c r="IN52" s="31"/>
      <c r="IO52" s="31"/>
      <c r="IP52" s="31"/>
      <c r="IQ52" s="31"/>
      <c r="IR52" s="31"/>
      <c r="IS52" s="31"/>
      <c r="IT52" s="31"/>
      <c r="IU52" s="31"/>
      <c r="IV52" s="31"/>
      <c r="IW52" s="31"/>
      <c r="IX52" s="31"/>
      <c r="IY52" s="31"/>
      <c r="IZ52" s="31"/>
      <c r="JA52" s="31"/>
      <c r="JB52" s="31"/>
      <c r="JC52" s="31"/>
      <c r="JD52" s="31"/>
      <c r="JE52" s="31"/>
      <c r="JF52" s="31"/>
      <c r="JG52" s="31"/>
      <c r="JH52" s="31"/>
      <c r="JI52" s="31"/>
      <c r="JJ52" s="31"/>
      <c r="JK52" s="31"/>
      <c r="JL52" s="31"/>
      <c r="JM52" s="31"/>
      <c r="JN52" s="31"/>
      <c r="JO52" s="31"/>
      <c r="JP52" s="31"/>
      <c r="JQ52" s="31"/>
      <c r="JR52" s="31"/>
      <c r="JS52" s="31"/>
      <c r="JT52" s="31"/>
      <c r="JU52" s="31"/>
      <c r="JV52" s="31"/>
      <c r="JW52" s="31"/>
      <c r="JX52" s="31"/>
      <c r="JY52" s="31"/>
      <c r="JZ52" s="31"/>
      <c r="KA52" s="31"/>
      <c r="KB52" s="31"/>
      <c r="KC52" s="31"/>
      <c r="KD52" s="31"/>
      <c r="KE52" s="31"/>
      <c r="KF52" s="31"/>
      <c r="KG52" s="31"/>
      <c r="KH52" s="31"/>
      <c r="KI52" s="31"/>
      <c r="KJ52" s="31"/>
      <c r="KK52" s="31"/>
      <c r="KL52" s="31"/>
      <c r="KM52" s="31"/>
      <c r="KN52" s="31"/>
      <c r="KO52" s="31"/>
      <c r="KP52" s="31"/>
      <c r="KQ52" s="31"/>
      <c r="KR52" s="31"/>
      <c r="KS52" s="31"/>
      <c r="KT52" s="31"/>
      <c r="KU52" s="31"/>
      <c r="KV52" s="31"/>
      <c r="KW52" s="31"/>
      <c r="KX52" s="31"/>
      <c r="KY52" s="31"/>
      <c r="KZ52" s="31"/>
      <c r="LA52" s="31"/>
      <c r="LB52" s="31"/>
      <c r="LC52" s="31"/>
      <c r="LD52" s="31"/>
      <c r="LE52" s="31"/>
      <c r="LF52" s="31"/>
      <c r="LG52" s="31"/>
      <c r="LH52" s="31"/>
      <c r="LI52" s="31"/>
      <c r="LJ52" s="31"/>
      <c r="LK52" s="31"/>
      <c r="LL52" s="31"/>
      <c r="LM52" s="31"/>
      <c r="LN52" s="31"/>
      <c r="LO52" s="31"/>
      <c r="LP52" s="31"/>
      <c r="LQ52" s="31"/>
      <c r="LR52" s="31"/>
      <c r="LS52" s="31"/>
      <c r="LT52" s="31"/>
      <c r="LU52" s="31"/>
      <c r="LV52" s="31"/>
      <c r="LW52" s="31"/>
      <c r="LX52" s="31"/>
      <c r="LY52" s="31"/>
      <c r="LZ52" s="31"/>
      <c r="MA52" s="31"/>
      <c r="MB52" s="31"/>
      <c r="MC52" s="31"/>
      <c r="MD52" s="31"/>
      <c r="ME52" s="31"/>
      <c r="MF52" s="31"/>
      <c r="MG52" s="31"/>
      <c r="MH52" s="31"/>
      <c r="MI52" s="31"/>
      <c r="MJ52" s="31"/>
      <c r="MK52" s="31"/>
      <c r="ML52" s="31"/>
      <c r="MM52" s="31"/>
      <c r="MN52" s="31"/>
      <c r="MO52" s="31"/>
      <c r="MP52" s="31"/>
      <c r="MQ52" s="31"/>
      <c r="MR52" s="31"/>
      <c r="MS52" s="31"/>
      <c r="MT52" s="31"/>
      <c r="MU52" s="31"/>
      <c r="MV52" s="31"/>
      <c r="MW52" s="31"/>
      <c r="MX52" s="31"/>
      <c r="MY52" s="31"/>
      <c r="MZ52" s="31"/>
      <c r="NA52" s="31"/>
      <c r="NB52" s="31"/>
      <c r="NC52" s="31"/>
      <c r="ND52" s="31"/>
      <c r="NE52" s="31"/>
      <c r="NF52" s="31"/>
      <c r="NG52" s="31"/>
      <c r="NH52" s="31"/>
      <c r="NI52" s="31"/>
      <c r="NJ52" s="31"/>
      <c r="NK52" s="31"/>
      <c r="NL52" s="31"/>
      <c r="NM52" s="31"/>
      <c r="NN52" s="31"/>
      <c r="NO52" s="31"/>
      <c r="NP52" s="31"/>
      <c r="NQ52" s="31"/>
      <c r="NR52" s="31"/>
      <c r="NS52" s="31"/>
      <c r="NT52" s="31"/>
      <c r="NU52" s="31"/>
      <c r="NV52" s="31"/>
      <c r="NW52" s="31"/>
      <c r="NX52" s="31"/>
      <c r="NY52" s="31"/>
      <c r="NZ52" s="31"/>
      <c r="OA52" s="31"/>
      <c r="OB52" s="31"/>
      <c r="OC52" s="31"/>
      <c r="OD52" s="31"/>
      <c r="OE52" s="31"/>
      <c r="OF52" s="31"/>
      <c r="OG52" s="31"/>
      <c r="OH52" s="31"/>
      <c r="OI52" s="31"/>
      <c r="OJ52" s="31"/>
      <c r="OK52" s="31"/>
      <c r="OL52" s="31"/>
      <c r="OM52" s="31"/>
      <c r="ON52" s="31"/>
      <c r="OO52" s="31"/>
      <c r="OP52" s="31"/>
      <c r="OQ52" s="31"/>
      <c r="OR52" s="31"/>
      <c r="OS52" s="31"/>
      <c r="OT52" s="31"/>
      <c r="OU52" s="31"/>
      <c r="OV52" s="31"/>
      <c r="OW52" s="31"/>
      <c r="OX52" s="31"/>
      <c r="OY52" s="31"/>
      <c r="OZ52" s="31"/>
      <c r="PA52" s="31"/>
      <c r="PB52" s="31"/>
      <c r="PC52" s="31"/>
      <c r="PD52" s="31"/>
      <c r="PE52" s="31"/>
      <c r="PF52" s="31"/>
      <c r="PG52" s="31"/>
      <c r="PH52" s="31"/>
      <c r="PI52" s="31"/>
      <c r="PJ52" s="31"/>
      <c r="PK52" s="31"/>
      <c r="PL52" s="31"/>
      <c r="PM52" s="31"/>
      <c r="PN52" s="31"/>
      <c r="PO52" s="31"/>
      <c r="PP52" s="31"/>
      <c r="PQ52" s="31"/>
      <c r="PR52" s="31"/>
      <c r="PS52" s="31"/>
      <c r="PT52" s="31"/>
      <c r="PU52" s="31"/>
      <c r="PV52" s="31"/>
      <c r="PW52" s="31"/>
      <c r="PX52" s="31"/>
      <c r="PY52" s="31"/>
      <c r="PZ52" s="31"/>
      <c r="QA52" s="31"/>
      <c r="QB52" s="31"/>
      <c r="QC52" s="31"/>
      <c r="QD52" s="31"/>
      <c r="QE52" s="31"/>
      <c r="QF52" s="31"/>
      <c r="QG52" s="31"/>
      <c r="QH52" s="31"/>
      <c r="QI52" s="31"/>
      <c r="QJ52" s="31"/>
      <c r="QK52" s="31"/>
      <c r="QL52" s="31"/>
      <c r="QM52" s="31"/>
      <c r="QN52" s="31"/>
      <c r="QO52" s="31"/>
      <c r="QP52" s="31"/>
      <c r="QQ52" s="31"/>
      <c r="QR52" s="31"/>
      <c r="QS52" s="31"/>
      <c r="QT52" s="31"/>
      <c r="QU52" s="31"/>
      <c r="QV52" s="31"/>
      <c r="QW52" s="31"/>
      <c r="QX52" s="31"/>
      <c r="QY52" s="31"/>
      <c r="QZ52" s="31"/>
      <c r="RA52" s="31"/>
      <c r="RB52" s="31"/>
      <c r="RC52" s="31"/>
      <c r="RD52" s="31"/>
      <c r="RE52" s="31"/>
      <c r="RF52" s="31"/>
      <c r="RG52" s="31"/>
      <c r="RH52" s="31"/>
      <c r="RI52" s="31"/>
      <c r="RJ52" s="31"/>
      <c r="RK52" s="31"/>
      <c r="RL52" s="31"/>
      <c r="RM52" s="31"/>
      <c r="RN52" s="31"/>
      <c r="RO52" s="31"/>
      <c r="RP52" s="31"/>
      <c r="RQ52" s="31"/>
      <c r="RR52" s="31"/>
      <c r="RS52" s="31"/>
      <c r="RT52" s="31"/>
      <c r="RU52" s="31"/>
      <c r="RV52" s="31"/>
      <c r="RW52" s="31"/>
      <c r="RX52" s="31"/>
      <c r="RY52" s="31"/>
      <c r="RZ52" s="31"/>
      <c r="SA52" s="31"/>
      <c r="SB52" s="31"/>
      <c r="SC52" s="31"/>
      <c r="SD52" s="31"/>
      <c r="SE52" s="31"/>
      <c r="SF52" s="31"/>
      <c r="SG52" s="31"/>
      <c r="SH52" s="31"/>
      <c r="SI52" s="31"/>
      <c r="SJ52" s="82"/>
      <c r="SK52" s="6"/>
    </row>
    <row r="53" ht="14.25" customHeight="1">
      <c r="A53" s="80" t="s">
        <v>567</v>
      </c>
      <c r="B53" s="30" t="s">
        <v>613</v>
      </c>
      <c r="C53" s="81"/>
      <c r="D53" s="74">
        <f t="shared" si="4"/>
        <v>0</v>
      </c>
      <c r="E53" s="78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  <c r="CW53" s="31"/>
      <c r="CX53" s="31"/>
      <c r="CY53" s="31"/>
      <c r="CZ53" s="31"/>
      <c r="DA53" s="31"/>
      <c r="DB53" s="31"/>
      <c r="DC53" s="31"/>
      <c r="DD53" s="31"/>
      <c r="DE53" s="31"/>
      <c r="DF53" s="31"/>
      <c r="DG53" s="31"/>
      <c r="DH53" s="31"/>
      <c r="DI53" s="31"/>
      <c r="DJ53" s="31"/>
      <c r="DK53" s="31"/>
      <c r="DL53" s="31"/>
      <c r="DM53" s="31"/>
      <c r="DN53" s="31"/>
      <c r="DO53" s="31"/>
      <c r="DP53" s="31"/>
      <c r="DQ53" s="31"/>
      <c r="DR53" s="31"/>
      <c r="DS53" s="31"/>
      <c r="DT53" s="31"/>
      <c r="DU53" s="31"/>
      <c r="DV53" s="31"/>
      <c r="DW53" s="31"/>
      <c r="DX53" s="31"/>
      <c r="DY53" s="31"/>
      <c r="DZ53" s="31"/>
      <c r="EA53" s="31"/>
      <c r="EB53" s="31"/>
      <c r="EC53" s="31"/>
      <c r="ED53" s="31"/>
      <c r="EE53" s="31"/>
      <c r="EF53" s="31"/>
      <c r="EG53" s="31"/>
      <c r="EH53" s="31"/>
      <c r="EI53" s="31"/>
      <c r="EJ53" s="31"/>
      <c r="EK53" s="31"/>
      <c r="EL53" s="31"/>
      <c r="EM53" s="31"/>
      <c r="EN53" s="31"/>
      <c r="EO53" s="31"/>
      <c r="EP53" s="31"/>
      <c r="EQ53" s="31"/>
      <c r="ER53" s="31"/>
      <c r="ES53" s="31"/>
      <c r="ET53" s="31"/>
      <c r="EU53" s="31"/>
      <c r="EV53" s="31"/>
      <c r="EW53" s="31"/>
      <c r="EX53" s="31"/>
      <c r="EY53" s="31"/>
      <c r="EZ53" s="31"/>
      <c r="FA53" s="31"/>
      <c r="FB53" s="31"/>
      <c r="FC53" s="31"/>
      <c r="FD53" s="31"/>
      <c r="FE53" s="31"/>
      <c r="FF53" s="31"/>
      <c r="FG53" s="31"/>
      <c r="FH53" s="31"/>
      <c r="FI53" s="31"/>
      <c r="FJ53" s="31"/>
      <c r="FK53" s="31"/>
      <c r="FL53" s="31"/>
      <c r="FM53" s="31"/>
      <c r="FN53" s="31"/>
      <c r="FO53" s="31"/>
      <c r="FP53" s="31"/>
      <c r="FQ53" s="31"/>
      <c r="FR53" s="31"/>
      <c r="FS53" s="31"/>
      <c r="FT53" s="31"/>
      <c r="FU53" s="31"/>
      <c r="FV53" s="31"/>
      <c r="FW53" s="31"/>
      <c r="FX53" s="31"/>
      <c r="FY53" s="31"/>
      <c r="FZ53" s="31"/>
      <c r="GA53" s="31"/>
      <c r="GB53" s="31"/>
      <c r="GC53" s="31"/>
      <c r="GD53" s="31"/>
      <c r="GE53" s="31"/>
      <c r="GF53" s="31"/>
      <c r="GG53" s="31"/>
      <c r="GH53" s="31"/>
      <c r="GI53" s="31"/>
      <c r="GJ53" s="31"/>
      <c r="GK53" s="31"/>
      <c r="GL53" s="31"/>
      <c r="GM53" s="31"/>
      <c r="GN53" s="31"/>
      <c r="GO53" s="31"/>
      <c r="GP53" s="31"/>
      <c r="GQ53" s="31"/>
      <c r="GR53" s="31"/>
      <c r="GS53" s="31"/>
      <c r="GT53" s="31"/>
      <c r="GU53" s="31"/>
      <c r="GV53" s="31"/>
      <c r="GW53" s="31"/>
      <c r="GX53" s="31"/>
      <c r="GY53" s="31"/>
      <c r="GZ53" s="31"/>
      <c r="HA53" s="31"/>
      <c r="HB53" s="31"/>
      <c r="HC53" s="31"/>
      <c r="HD53" s="31"/>
      <c r="HE53" s="31"/>
      <c r="HF53" s="31"/>
      <c r="HG53" s="31"/>
      <c r="HH53" s="31"/>
      <c r="HI53" s="31"/>
      <c r="HJ53" s="31"/>
      <c r="HK53" s="31"/>
      <c r="HL53" s="31"/>
      <c r="HM53" s="31"/>
      <c r="HN53" s="31"/>
      <c r="HO53" s="31"/>
      <c r="HP53" s="31"/>
      <c r="HQ53" s="31"/>
      <c r="HR53" s="31"/>
      <c r="HS53" s="31"/>
      <c r="HT53" s="31"/>
      <c r="HU53" s="31"/>
      <c r="HV53" s="31"/>
      <c r="HW53" s="31"/>
      <c r="HX53" s="31"/>
      <c r="HY53" s="31"/>
      <c r="HZ53" s="31"/>
      <c r="IA53" s="31"/>
      <c r="IB53" s="31"/>
      <c r="IC53" s="31"/>
      <c r="ID53" s="31"/>
      <c r="IE53" s="31"/>
      <c r="IF53" s="31"/>
      <c r="IG53" s="31"/>
      <c r="IH53" s="31"/>
      <c r="II53" s="31"/>
      <c r="IJ53" s="31"/>
      <c r="IK53" s="31"/>
      <c r="IL53" s="31"/>
      <c r="IM53" s="31"/>
      <c r="IN53" s="31"/>
      <c r="IO53" s="31"/>
      <c r="IP53" s="31"/>
      <c r="IQ53" s="31"/>
      <c r="IR53" s="31"/>
      <c r="IS53" s="31"/>
      <c r="IT53" s="31"/>
      <c r="IU53" s="31"/>
      <c r="IV53" s="31"/>
      <c r="IW53" s="31"/>
      <c r="IX53" s="31"/>
      <c r="IY53" s="31"/>
      <c r="IZ53" s="31"/>
      <c r="JA53" s="31"/>
      <c r="JB53" s="31"/>
      <c r="JC53" s="31"/>
      <c r="JD53" s="31"/>
      <c r="JE53" s="31"/>
      <c r="JF53" s="31"/>
      <c r="JG53" s="31"/>
      <c r="JH53" s="31"/>
      <c r="JI53" s="31"/>
      <c r="JJ53" s="31"/>
      <c r="JK53" s="31"/>
      <c r="JL53" s="31"/>
      <c r="JM53" s="31"/>
      <c r="JN53" s="31"/>
      <c r="JO53" s="31"/>
      <c r="JP53" s="31"/>
      <c r="JQ53" s="31"/>
      <c r="JR53" s="31"/>
      <c r="JS53" s="31"/>
      <c r="JT53" s="31"/>
      <c r="JU53" s="31"/>
      <c r="JV53" s="31"/>
      <c r="JW53" s="31"/>
      <c r="JX53" s="31"/>
      <c r="JY53" s="31"/>
      <c r="JZ53" s="31"/>
      <c r="KA53" s="31"/>
      <c r="KB53" s="31"/>
      <c r="KC53" s="31"/>
      <c r="KD53" s="31"/>
      <c r="KE53" s="31"/>
      <c r="KF53" s="31"/>
      <c r="KG53" s="31"/>
      <c r="KH53" s="31"/>
      <c r="KI53" s="31"/>
      <c r="KJ53" s="31"/>
      <c r="KK53" s="31"/>
      <c r="KL53" s="31"/>
      <c r="KM53" s="31"/>
      <c r="KN53" s="31"/>
      <c r="KO53" s="31"/>
      <c r="KP53" s="31"/>
      <c r="KQ53" s="31"/>
      <c r="KR53" s="31"/>
      <c r="KS53" s="31"/>
      <c r="KT53" s="31"/>
      <c r="KU53" s="31"/>
      <c r="KV53" s="31"/>
      <c r="KW53" s="31"/>
      <c r="KX53" s="31"/>
      <c r="KY53" s="31"/>
      <c r="KZ53" s="31"/>
      <c r="LA53" s="31"/>
      <c r="LB53" s="31"/>
      <c r="LC53" s="31"/>
      <c r="LD53" s="31"/>
      <c r="LE53" s="31"/>
      <c r="LF53" s="31"/>
      <c r="LG53" s="31"/>
      <c r="LH53" s="31"/>
      <c r="LI53" s="31"/>
      <c r="LJ53" s="31"/>
      <c r="LK53" s="31"/>
      <c r="LL53" s="31"/>
      <c r="LM53" s="31"/>
      <c r="LN53" s="31"/>
      <c r="LO53" s="31"/>
      <c r="LP53" s="31"/>
      <c r="LQ53" s="31"/>
      <c r="LR53" s="31"/>
      <c r="LS53" s="31"/>
      <c r="LT53" s="31"/>
      <c r="LU53" s="31"/>
      <c r="LV53" s="31"/>
      <c r="LW53" s="31"/>
      <c r="LX53" s="31"/>
      <c r="LY53" s="31"/>
      <c r="LZ53" s="31"/>
      <c r="MA53" s="31"/>
      <c r="MB53" s="31"/>
      <c r="MC53" s="31"/>
      <c r="MD53" s="31"/>
      <c r="ME53" s="31"/>
      <c r="MF53" s="31"/>
      <c r="MG53" s="31"/>
      <c r="MH53" s="31"/>
      <c r="MI53" s="31"/>
      <c r="MJ53" s="31"/>
      <c r="MK53" s="31"/>
      <c r="ML53" s="31"/>
      <c r="MM53" s="31"/>
      <c r="MN53" s="31"/>
      <c r="MO53" s="31"/>
      <c r="MP53" s="31"/>
      <c r="MQ53" s="31"/>
      <c r="MR53" s="31"/>
      <c r="MS53" s="31"/>
      <c r="MT53" s="31"/>
      <c r="MU53" s="31"/>
      <c r="MV53" s="31"/>
      <c r="MW53" s="31"/>
      <c r="MX53" s="31"/>
      <c r="MY53" s="31"/>
      <c r="MZ53" s="31"/>
      <c r="NA53" s="31"/>
      <c r="NB53" s="31"/>
      <c r="NC53" s="31"/>
      <c r="ND53" s="31"/>
      <c r="NE53" s="31"/>
      <c r="NF53" s="31"/>
      <c r="NG53" s="31"/>
      <c r="NH53" s="31"/>
      <c r="NI53" s="31"/>
      <c r="NJ53" s="31"/>
      <c r="NK53" s="31"/>
      <c r="NL53" s="31"/>
      <c r="NM53" s="31"/>
      <c r="NN53" s="31"/>
      <c r="NO53" s="31"/>
      <c r="NP53" s="31"/>
      <c r="NQ53" s="31"/>
      <c r="NR53" s="31"/>
      <c r="NS53" s="31"/>
      <c r="NT53" s="31"/>
      <c r="NU53" s="31"/>
      <c r="NV53" s="31"/>
      <c r="NW53" s="31"/>
      <c r="NX53" s="31"/>
      <c r="NY53" s="31"/>
      <c r="NZ53" s="31"/>
      <c r="OA53" s="31"/>
      <c r="OB53" s="31"/>
      <c r="OC53" s="31"/>
      <c r="OD53" s="31"/>
      <c r="OE53" s="31"/>
      <c r="OF53" s="31"/>
      <c r="OG53" s="31"/>
      <c r="OH53" s="31"/>
      <c r="OI53" s="31"/>
      <c r="OJ53" s="31"/>
      <c r="OK53" s="31"/>
      <c r="OL53" s="31"/>
      <c r="OM53" s="31"/>
      <c r="ON53" s="31"/>
      <c r="OO53" s="31"/>
      <c r="OP53" s="31"/>
      <c r="OQ53" s="31"/>
      <c r="OR53" s="31"/>
      <c r="OS53" s="31"/>
      <c r="OT53" s="31"/>
      <c r="OU53" s="31"/>
      <c r="OV53" s="31"/>
      <c r="OW53" s="31"/>
      <c r="OX53" s="31"/>
      <c r="OY53" s="31"/>
      <c r="OZ53" s="31"/>
      <c r="PA53" s="31"/>
      <c r="PB53" s="31"/>
      <c r="PC53" s="31"/>
      <c r="PD53" s="31"/>
      <c r="PE53" s="31"/>
      <c r="PF53" s="31"/>
      <c r="PG53" s="31"/>
      <c r="PH53" s="31"/>
      <c r="PI53" s="31"/>
      <c r="PJ53" s="31"/>
      <c r="PK53" s="31"/>
      <c r="PL53" s="31"/>
      <c r="PM53" s="31"/>
      <c r="PN53" s="31"/>
      <c r="PO53" s="31"/>
      <c r="PP53" s="31"/>
      <c r="PQ53" s="31"/>
      <c r="PR53" s="31"/>
      <c r="PS53" s="31"/>
      <c r="PT53" s="31"/>
      <c r="PU53" s="31"/>
      <c r="PV53" s="31"/>
      <c r="PW53" s="31"/>
      <c r="PX53" s="31"/>
      <c r="PY53" s="31"/>
      <c r="PZ53" s="31"/>
      <c r="QA53" s="31"/>
      <c r="QB53" s="31"/>
      <c r="QC53" s="31"/>
      <c r="QD53" s="31"/>
      <c r="QE53" s="31"/>
      <c r="QF53" s="31"/>
      <c r="QG53" s="31"/>
      <c r="QH53" s="31"/>
      <c r="QI53" s="31"/>
      <c r="QJ53" s="31"/>
      <c r="QK53" s="31"/>
      <c r="QL53" s="31"/>
      <c r="QM53" s="31"/>
      <c r="QN53" s="31"/>
      <c r="QO53" s="31"/>
      <c r="QP53" s="31"/>
      <c r="QQ53" s="31"/>
      <c r="QR53" s="31"/>
      <c r="QS53" s="31"/>
      <c r="QT53" s="31"/>
      <c r="QU53" s="31"/>
      <c r="QV53" s="31"/>
      <c r="QW53" s="31"/>
      <c r="QX53" s="31"/>
      <c r="QY53" s="31"/>
      <c r="QZ53" s="31"/>
      <c r="RA53" s="31"/>
      <c r="RB53" s="31"/>
      <c r="RC53" s="31"/>
      <c r="RD53" s="31"/>
      <c r="RE53" s="31"/>
      <c r="RF53" s="31"/>
      <c r="RG53" s="31"/>
      <c r="RH53" s="31"/>
      <c r="RI53" s="31"/>
      <c r="RJ53" s="31"/>
      <c r="RK53" s="31"/>
      <c r="RL53" s="31"/>
      <c r="RM53" s="31"/>
      <c r="RN53" s="31"/>
      <c r="RO53" s="31"/>
      <c r="RP53" s="31"/>
      <c r="RQ53" s="31"/>
      <c r="RR53" s="31"/>
      <c r="RS53" s="31"/>
      <c r="RT53" s="31"/>
      <c r="RU53" s="31"/>
      <c r="RV53" s="31"/>
      <c r="RW53" s="31"/>
      <c r="RX53" s="31"/>
      <c r="RY53" s="31"/>
      <c r="RZ53" s="31"/>
      <c r="SA53" s="31"/>
      <c r="SB53" s="31"/>
      <c r="SC53" s="31"/>
      <c r="SD53" s="31"/>
      <c r="SE53" s="31"/>
      <c r="SF53" s="31"/>
      <c r="SG53" s="31"/>
      <c r="SH53" s="31"/>
      <c r="SI53" s="31"/>
      <c r="SJ53" s="82"/>
      <c r="SK53" s="6"/>
    </row>
    <row r="54" ht="14.25" customHeight="1">
      <c r="A54" s="80" t="s">
        <v>567</v>
      </c>
      <c r="B54" s="30" t="s">
        <v>614</v>
      </c>
      <c r="C54" s="81"/>
      <c r="D54" s="74">
        <f t="shared" si="4"/>
        <v>0</v>
      </c>
      <c r="E54" s="78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  <c r="CW54" s="31"/>
      <c r="CX54" s="31"/>
      <c r="CY54" s="31"/>
      <c r="CZ54" s="31"/>
      <c r="DA54" s="31"/>
      <c r="DB54" s="31"/>
      <c r="DC54" s="31"/>
      <c r="DD54" s="31"/>
      <c r="DE54" s="31"/>
      <c r="DF54" s="31"/>
      <c r="DG54" s="31"/>
      <c r="DH54" s="31"/>
      <c r="DI54" s="31"/>
      <c r="DJ54" s="31"/>
      <c r="DK54" s="31"/>
      <c r="DL54" s="31"/>
      <c r="DM54" s="31"/>
      <c r="DN54" s="31"/>
      <c r="DO54" s="31"/>
      <c r="DP54" s="31"/>
      <c r="DQ54" s="31"/>
      <c r="DR54" s="31"/>
      <c r="DS54" s="31"/>
      <c r="DT54" s="31"/>
      <c r="DU54" s="31"/>
      <c r="DV54" s="31"/>
      <c r="DW54" s="31"/>
      <c r="DX54" s="31"/>
      <c r="DY54" s="31"/>
      <c r="DZ54" s="31"/>
      <c r="EA54" s="31"/>
      <c r="EB54" s="31"/>
      <c r="EC54" s="31"/>
      <c r="ED54" s="31"/>
      <c r="EE54" s="31"/>
      <c r="EF54" s="31"/>
      <c r="EG54" s="31"/>
      <c r="EH54" s="31"/>
      <c r="EI54" s="31"/>
      <c r="EJ54" s="31"/>
      <c r="EK54" s="31"/>
      <c r="EL54" s="31"/>
      <c r="EM54" s="31"/>
      <c r="EN54" s="31"/>
      <c r="EO54" s="31"/>
      <c r="EP54" s="31"/>
      <c r="EQ54" s="31"/>
      <c r="ER54" s="31"/>
      <c r="ES54" s="31"/>
      <c r="ET54" s="31"/>
      <c r="EU54" s="31"/>
      <c r="EV54" s="31"/>
      <c r="EW54" s="31"/>
      <c r="EX54" s="31"/>
      <c r="EY54" s="31"/>
      <c r="EZ54" s="31"/>
      <c r="FA54" s="31"/>
      <c r="FB54" s="31"/>
      <c r="FC54" s="31"/>
      <c r="FD54" s="31"/>
      <c r="FE54" s="31"/>
      <c r="FF54" s="31"/>
      <c r="FG54" s="31"/>
      <c r="FH54" s="31"/>
      <c r="FI54" s="31"/>
      <c r="FJ54" s="31"/>
      <c r="FK54" s="31"/>
      <c r="FL54" s="31"/>
      <c r="FM54" s="31"/>
      <c r="FN54" s="31"/>
      <c r="FO54" s="31"/>
      <c r="FP54" s="31"/>
      <c r="FQ54" s="31"/>
      <c r="FR54" s="31"/>
      <c r="FS54" s="31"/>
      <c r="FT54" s="31"/>
      <c r="FU54" s="31"/>
      <c r="FV54" s="31"/>
      <c r="FW54" s="31"/>
      <c r="FX54" s="31"/>
      <c r="FY54" s="31"/>
      <c r="FZ54" s="31"/>
      <c r="GA54" s="31"/>
      <c r="GB54" s="31"/>
      <c r="GC54" s="31"/>
      <c r="GD54" s="31"/>
      <c r="GE54" s="31"/>
      <c r="GF54" s="31"/>
      <c r="GG54" s="31"/>
      <c r="GH54" s="31"/>
      <c r="GI54" s="31"/>
      <c r="GJ54" s="31"/>
      <c r="GK54" s="31"/>
      <c r="GL54" s="31"/>
      <c r="GM54" s="31"/>
      <c r="GN54" s="31"/>
      <c r="GO54" s="31"/>
      <c r="GP54" s="31"/>
      <c r="GQ54" s="31"/>
      <c r="GR54" s="31"/>
      <c r="GS54" s="31"/>
      <c r="GT54" s="31"/>
      <c r="GU54" s="31"/>
      <c r="GV54" s="31"/>
      <c r="GW54" s="31"/>
      <c r="GX54" s="31"/>
      <c r="GY54" s="31"/>
      <c r="GZ54" s="31"/>
      <c r="HA54" s="31"/>
      <c r="HB54" s="31"/>
      <c r="HC54" s="31"/>
      <c r="HD54" s="31"/>
      <c r="HE54" s="31"/>
      <c r="HF54" s="31"/>
      <c r="HG54" s="31"/>
      <c r="HH54" s="31"/>
      <c r="HI54" s="31"/>
      <c r="HJ54" s="31"/>
      <c r="HK54" s="31"/>
      <c r="HL54" s="31"/>
      <c r="HM54" s="31"/>
      <c r="HN54" s="31"/>
      <c r="HO54" s="31"/>
      <c r="HP54" s="31"/>
      <c r="HQ54" s="31"/>
      <c r="HR54" s="31"/>
      <c r="HS54" s="31"/>
      <c r="HT54" s="31"/>
      <c r="HU54" s="31"/>
      <c r="HV54" s="31"/>
      <c r="HW54" s="31"/>
      <c r="HX54" s="31"/>
      <c r="HY54" s="31"/>
      <c r="HZ54" s="31"/>
      <c r="IA54" s="31"/>
      <c r="IB54" s="31"/>
      <c r="IC54" s="31"/>
      <c r="ID54" s="31"/>
      <c r="IE54" s="31"/>
      <c r="IF54" s="31"/>
      <c r="IG54" s="31"/>
      <c r="IH54" s="31"/>
      <c r="II54" s="31"/>
      <c r="IJ54" s="31"/>
      <c r="IK54" s="31"/>
      <c r="IL54" s="31"/>
      <c r="IM54" s="31"/>
      <c r="IN54" s="31"/>
      <c r="IO54" s="31"/>
      <c r="IP54" s="31"/>
      <c r="IQ54" s="31"/>
      <c r="IR54" s="31"/>
      <c r="IS54" s="31"/>
      <c r="IT54" s="31"/>
      <c r="IU54" s="31"/>
      <c r="IV54" s="31"/>
      <c r="IW54" s="31"/>
      <c r="IX54" s="31"/>
      <c r="IY54" s="31"/>
      <c r="IZ54" s="31"/>
      <c r="JA54" s="31"/>
      <c r="JB54" s="31"/>
      <c r="JC54" s="31"/>
      <c r="JD54" s="31"/>
      <c r="JE54" s="31"/>
      <c r="JF54" s="31"/>
      <c r="JG54" s="31"/>
      <c r="JH54" s="31"/>
      <c r="JI54" s="31"/>
      <c r="JJ54" s="31"/>
      <c r="JK54" s="31"/>
      <c r="JL54" s="31"/>
      <c r="JM54" s="31"/>
      <c r="JN54" s="31"/>
      <c r="JO54" s="31"/>
      <c r="JP54" s="31"/>
      <c r="JQ54" s="31"/>
      <c r="JR54" s="31"/>
      <c r="JS54" s="31"/>
      <c r="JT54" s="31"/>
      <c r="JU54" s="31"/>
      <c r="JV54" s="31"/>
      <c r="JW54" s="31"/>
      <c r="JX54" s="31"/>
      <c r="JY54" s="31"/>
      <c r="JZ54" s="31"/>
      <c r="KA54" s="31"/>
      <c r="KB54" s="31"/>
      <c r="KC54" s="31"/>
      <c r="KD54" s="31"/>
      <c r="KE54" s="31"/>
      <c r="KF54" s="31"/>
      <c r="KG54" s="31"/>
      <c r="KH54" s="31"/>
      <c r="KI54" s="31"/>
      <c r="KJ54" s="31"/>
      <c r="KK54" s="31"/>
      <c r="KL54" s="31"/>
      <c r="KM54" s="31"/>
      <c r="KN54" s="31"/>
      <c r="KO54" s="31"/>
      <c r="KP54" s="31"/>
      <c r="KQ54" s="31"/>
      <c r="KR54" s="31"/>
      <c r="KS54" s="31"/>
      <c r="KT54" s="31"/>
      <c r="KU54" s="31"/>
      <c r="KV54" s="31"/>
      <c r="KW54" s="31"/>
      <c r="KX54" s="31"/>
      <c r="KY54" s="31"/>
      <c r="KZ54" s="31"/>
      <c r="LA54" s="31"/>
      <c r="LB54" s="31"/>
      <c r="LC54" s="31"/>
      <c r="LD54" s="31"/>
      <c r="LE54" s="31"/>
      <c r="LF54" s="31"/>
      <c r="LG54" s="31"/>
      <c r="LH54" s="31"/>
      <c r="LI54" s="31"/>
      <c r="LJ54" s="31"/>
      <c r="LK54" s="31"/>
      <c r="LL54" s="31"/>
      <c r="LM54" s="31"/>
      <c r="LN54" s="31"/>
      <c r="LO54" s="31"/>
      <c r="LP54" s="31"/>
      <c r="LQ54" s="31"/>
      <c r="LR54" s="31"/>
      <c r="LS54" s="31"/>
      <c r="LT54" s="31"/>
      <c r="LU54" s="31"/>
      <c r="LV54" s="31"/>
      <c r="LW54" s="31"/>
      <c r="LX54" s="31"/>
      <c r="LY54" s="31"/>
      <c r="LZ54" s="31"/>
      <c r="MA54" s="31"/>
      <c r="MB54" s="31"/>
      <c r="MC54" s="31"/>
      <c r="MD54" s="31"/>
      <c r="ME54" s="31"/>
      <c r="MF54" s="31"/>
      <c r="MG54" s="31"/>
      <c r="MH54" s="31"/>
      <c r="MI54" s="31"/>
      <c r="MJ54" s="31"/>
      <c r="MK54" s="31"/>
      <c r="ML54" s="31"/>
      <c r="MM54" s="31"/>
      <c r="MN54" s="31"/>
      <c r="MO54" s="31"/>
      <c r="MP54" s="31"/>
      <c r="MQ54" s="31"/>
      <c r="MR54" s="31"/>
      <c r="MS54" s="31"/>
      <c r="MT54" s="31"/>
      <c r="MU54" s="31"/>
      <c r="MV54" s="31"/>
      <c r="MW54" s="31"/>
      <c r="MX54" s="31"/>
      <c r="MY54" s="31"/>
      <c r="MZ54" s="31"/>
      <c r="NA54" s="31"/>
      <c r="NB54" s="31"/>
      <c r="NC54" s="31"/>
      <c r="ND54" s="31"/>
      <c r="NE54" s="31"/>
      <c r="NF54" s="31"/>
      <c r="NG54" s="31"/>
      <c r="NH54" s="31"/>
      <c r="NI54" s="31"/>
      <c r="NJ54" s="31"/>
      <c r="NK54" s="31"/>
      <c r="NL54" s="31"/>
      <c r="NM54" s="31"/>
      <c r="NN54" s="31"/>
      <c r="NO54" s="31"/>
      <c r="NP54" s="31"/>
      <c r="NQ54" s="31"/>
      <c r="NR54" s="31"/>
      <c r="NS54" s="31"/>
      <c r="NT54" s="31"/>
      <c r="NU54" s="31"/>
      <c r="NV54" s="31"/>
      <c r="NW54" s="31"/>
      <c r="NX54" s="31"/>
      <c r="NY54" s="31"/>
      <c r="NZ54" s="31"/>
      <c r="OA54" s="31"/>
      <c r="OB54" s="31"/>
      <c r="OC54" s="31"/>
      <c r="OD54" s="31"/>
      <c r="OE54" s="31"/>
      <c r="OF54" s="31"/>
      <c r="OG54" s="31"/>
      <c r="OH54" s="31"/>
      <c r="OI54" s="31"/>
      <c r="OJ54" s="31"/>
      <c r="OK54" s="31"/>
      <c r="OL54" s="31"/>
      <c r="OM54" s="31"/>
      <c r="ON54" s="31"/>
      <c r="OO54" s="31"/>
      <c r="OP54" s="31"/>
      <c r="OQ54" s="31"/>
      <c r="OR54" s="31"/>
      <c r="OS54" s="31"/>
      <c r="OT54" s="31"/>
      <c r="OU54" s="31"/>
      <c r="OV54" s="31"/>
      <c r="OW54" s="31"/>
      <c r="OX54" s="31"/>
      <c r="OY54" s="31"/>
      <c r="OZ54" s="31"/>
      <c r="PA54" s="31"/>
      <c r="PB54" s="31"/>
      <c r="PC54" s="31"/>
      <c r="PD54" s="31"/>
      <c r="PE54" s="31"/>
      <c r="PF54" s="31"/>
      <c r="PG54" s="31"/>
      <c r="PH54" s="31"/>
      <c r="PI54" s="31"/>
      <c r="PJ54" s="31"/>
      <c r="PK54" s="31"/>
      <c r="PL54" s="31"/>
      <c r="PM54" s="31"/>
      <c r="PN54" s="31"/>
      <c r="PO54" s="31"/>
      <c r="PP54" s="31"/>
      <c r="PQ54" s="31"/>
      <c r="PR54" s="31"/>
      <c r="PS54" s="31"/>
      <c r="PT54" s="31"/>
      <c r="PU54" s="31"/>
      <c r="PV54" s="31"/>
      <c r="PW54" s="31"/>
      <c r="PX54" s="31"/>
      <c r="PY54" s="31"/>
      <c r="PZ54" s="31"/>
      <c r="QA54" s="31"/>
      <c r="QB54" s="31"/>
      <c r="QC54" s="31"/>
      <c r="QD54" s="31"/>
      <c r="QE54" s="31"/>
      <c r="QF54" s="31"/>
      <c r="QG54" s="31"/>
      <c r="QH54" s="31"/>
      <c r="QI54" s="31"/>
      <c r="QJ54" s="31"/>
      <c r="QK54" s="31"/>
      <c r="QL54" s="31"/>
      <c r="QM54" s="31"/>
      <c r="QN54" s="31"/>
      <c r="QO54" s="31"/>
      <c r="QP54" s="31"/>
      <c r="QQ54" s="31"/>
      <c r="QR54" s="31"/>
      <c r="QS54" s="31"/>
      <c r="QT54" s="31"/>
      <c r="QU54" s="31"/>
      <c r="QV54" s="31"/>
      <c r="QW54" s="31"/>
      <c r="QX54" s="31"/>
      <c r="QY54" s="31"/>
      <c r="QZ54" s="31"/>
      <c r="RA54" s="31"/>
      <c r="RB54" s="31"/>
      <c r="RC54" s="31"/>
      <c r="RD54" s="31"/>
      <c r="RE54" s="31"/>
      <c r="RF54" s="31"/>
      <c r="RG54" s="31"/>
      <c r="RH54" s="31"/>
      <c r="RI54" s="31"/>
      <c r="RJ54" s="31"/>
      <c r="RK54" s="31"/>
      <c r="RL54" s="31"/>
      <c r="RM54" s="31"/>
      <c r="RN54" s="31"/>
      <c r="RO54" s="31"/>
      <c r="RP54" s="31"/>
      <c r="RQ54" s="31"/>
      <c r="RR54" s="31"/>
      <c r="RS54" s="31"/>
      <c r="RT54" s="31"/>
      <c r="RU54" s="31"/>
      <c r="RV54" s="31"/>
      <c r="RW54" s="31"/>
      <c r="RX54" s="31"/>
      <c r="RY54" s="31"/>
      <c r="RZ54" s="31"/>
      <c r="SA54" s="31"/>
      <c r="SB54" s="31"/>
      <c r="SC54" s="31"/>
      <c r="SD54" s="78"/>
      <c r="SE54" s="31"/>
      <c r="SF54" s="31"/>
      <c r="SG54" s="31"/>
      <c r="SH54" s="31"/>
      <c r="SI54" s="31"/>
      <c r="SJ54" s="82"/>
      <c r="SK54" s="6"/>
    </row>
    <row r="55" ht="14.25" customHeight="1">
      <c r="A55" s="80" t="s">
        <v>567</v>
      </c>
      <c r="B55" s="30" t="s">
        <v>615</v>
      </c>
      <c r="C55" s="81"/>
      <c r="D55" s="74">
        <f t="shared" si="4"/>
        <v>0</v>
      </c>
      <c r="E55" s="78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  <c r="CW55" s="31"/>
      <c r="CX55" s="31"/>
      <c r="CY55" s="31"/>
      <c r="CZ55" s="31"/>
      <c r="DA55" s="31"/>
      <c r="DB55" s="31"/>
      <c r="DC55" s="31"/>
      <c r="DD55" s="31"/>
      <c r="DE55" s="31"/>
      <c r="DF55" s="31"/>
      <c r="DG55" s="31"/>
      <c r="DH55" s="31"/>
      <c r="DI55" s="31"/>
      <c r="DJ55" s="31"/>
      <c r="DK55" s="31"/>
      <c r="DL55" s="31"/>
      <c r="DM55" s="31"/>
      <c r="DN55" s="31"/>
      <c r="DO55" s="31"/>
      <c r="DP55" s="31"/>
      <c r="DQ55" s="31"/>
      <c r="DR55" s="31"/>
      <c r="DS55" s="31"/>
      <c r="DT55" s="31"/>
      <c r="DU55" s="31"/>
      <c r="DV55" s="31"/>
      <c r="DW55" s="31"/>
      <c r="DX55" s="31"/>
      <c r="DY55" s="31"/>
      <c r="DZ55" s="31"/>
      <c r="EA55" s="31"/>
      <c r="EB55" s="31"/>
      <c r="EC55" s="31"/>
      <c r="ED55" s="31"/>
      <c r="EE55" s="31"/>
      <c r="EF55" s="31"/>
      <c r="EG55" s="31"/>
      <c r="EH55" s="31"/>
      <c r="EI55" s="31"/>
      <c r="EJ55" s="31"/>
      <c r="EK55" s="31"/>
      <c r="EL55" s="31"/>
      <c r="EM55" s="31"/>
      <c r="EN55" s="31"/>
      <c r="EO55" s="31"/>
      <c r="EP55" s="31"/>
      <c r="EQ55" s="31"/>
      <c r="ER55" s="31"/>
      <c r="ES55" s="31"/>
      <c r="ET55" s="31"/>
      <c r="EU55" s="31"/>
      <c r="EV55" s="31"/>
      <c r="EW55" s="31"/>
      <c r="EX55" s="31"/>
      <c r="EY55" s="31"/>
      <c r="EZ55" s="31"/>
      <c r="FA55" s="31"/>
      <c r="FB55" s="31"/>
      <c r="FC55" s="31"/>
      <c r="FD55" s="31"/>
      <c r="FE55" s="31"/>
      <c r="FF55" s="31"/>
      <c r="FG55" s="31"/>
      <c r="FH55" s="31"/>
      <c r="FI55" s="31"/>
      <c r="FJ55" s="31"/>
      <c r="FK55" s="31"/>
      <c r="FL55" s="31"/>
      <c r="FM55" s="31"/>
      <c r="FN55" s="31"/>
      <c r="FO55" s="31"/>
      <c r="FP55" s="31"/>
      <c r="FQ55" s="31"/>
      <c r="FR55" s="31"/>
      <c r="FS55" s="31"/>
      <c r="FT55" s="31"/>
      <c r="FU55" s="31"/>
      <c r="FV55" s="31"/>
      <c r="FW55" s="31"/>
      <c r="FX55" s="31"/>
      <c r="FY55" s="31"/>
      <c r="FZ55" s="31"/>
      <c r="GA55" s="31"/>
      <c r="GB55" s="31"/>
      <c r="GC55" s="31"/>
      <c r="GD55" s="31"/>
      <c r="GE55" s="31"/>
      <c r="GF55" s="31"/>
      <c r="GG55" s="31"/>
      <c r="GH55" s="31"/>
      <c r="GI55" s="31"/>
      <c r="GJ55" s="31"/>
      <c r="GK55" s="31"/>
      <c r="GL55" s="31"/>
      <c r="GM55" s="31"/>
      <c r="GN55" s="31"/>
      <c r="GO55" s="31"/>
      <c r="GP55" s="31"/>
      <c r="GQ55" s="31"/>
      <c r="GR55" s="31"/>
      <c r="GS55" s="31"/>
      <c r="GT55" s="31"/>
      <c r="GU55" s="31"/>
      <c r="GV55" s="31"/>
      <c r="GW55" s="31"/>
      <c r="GX55" s="31"/>
      <c r="GY55" s="31"/>
      <c r="GZ55" s="31"/>
      <c r="HA55" s="31"/>
      <c r="HB55" s="31"/>
      <c r="HC55" s="31"/>
      <c r="HD55" s="31"/>
      <c r="HE55" s="31"/>
      <c r="HF55" s="31"/>
      <c r="HG55" s="31"/>
      <c r="HH55" s="31"/>
      <c r="HI55" s="31"/>
      <c r="HJ55" s="31"/>
      <c r="HK55" s="31"/>
      <c r="HL55" s="31"/>
      <c r="HM55" s="31"/>
      <c r="HN55" s="31"/>
      <c r="HO55" s="31"/>
      <c r="HP55" s="31"/>
      <c r="HQ55" s="31"/>
      <c r="HR55" s="31"/>
      <c r="HS55" s="31"/>
      <c r="HT55" s="31"/>
      <c r="HU55" s="31"/>
      <c r="HV55" s="31"/>
      <c r="HW55" s="31"/>
      <c r="HX55" s="31"/>
      <c r="HY55" s="31"/>
      <c r="HZ55" s="31"/>
      <c r="IA55" s="31"/>
      <c r="IB55" s="31"/>
      <c r="IC55" s="31"/>
      <c r="ID55" s="31"/>
      <c r="IE55" s="31"/>
      <c r="IF55" s="31"/>
      <c r="IG55" s="31"/>
      <c r="IH55" s="31"/>
      <c r="II55" s="31"/>
      <c r="IJ55" s="31"/>
      <c r="IK55" s="31"/>
      <c r="IL55" s="31"/>
      <c r="IM55" s="31"/>
      <c r="IN55" s="31"/>
      <c r="IO55" s="31"/>
      <c r="IP55" s="31"/>
      <c r="IQ55" s="31"/>
      <c r="IR55" s="31"/>
      <c r="IS55" s="31"/>
      <c r="IT55" s="31"/>
      <c r="IU55" s="31"/>
      <c r="IV55" s="31"/>
      <c r="IW55" s="31"/>
      <c r="IX55" s="31"/>
      <c r="IY55" s="31"/>
      <c r="IZ55" s="31"/>
      <c r="JA55" s="31"/>
      <c r="JB55" s="31"/>
      <c r="JC55" s="31"/>
      <c r="JD55" s="31"/>
      <c r="JE55" s="31"/>
      <c r="JF55" s="31"/>
      <c r="JG55" s="31"/>
      <c r="JH55" s="31"/>
      <c r="JI55" s="31"/>
      <c r="JJ55" s="31"/>
      <c r="JK55" s="31"/>
      <c r="JL55" s="31"/>
      <c r="JM55" s="31"/>
      <c r="JN55" s="31"/>
      <c r="JO55" s="31"/>
      <c r="JP55" s="31"/>
      <c r="JQ55" s="31"/>
      <c r="JR55" s="31"/>
      <c r="JS55" s="31"/>
      <c r="JT55" s="31"/>
      <c r="JU55" s="31"/>
      <c r="JV55" s="31"/>
      <c r="JW55" s="31"/>
      <c r="JX55" s="31"/>
      <c r="JY55" s="31"/>
      <c r="JZ55" s="31"/>
      <c r="KA55" s="31"/>
      <c r="KB55" s="31"/>
      <c r="KC55" s="31"/>
      <c r="KD55" s="31"/>
      <c r="KE55" s="31"/>
      <c r="KF55" s="31"/>
      <c r="KG55" s="31"/>
      <c r="KH55" s="31"/>
      <c r="KI55" s="31"/>
      <c r="KJ55" s="31"/>
      <c r="KK55" s="31"/>
      <c r="KL55" s="31"/>
      <c r="KM55" s="31"/>
      <c r="KN55" s="31"/>
      <c r="KO55" s="31"/>
      <c r="KP55" s="31"/>
      <c r="KQ55" s="31"/>
      <c r="KR55" s="31"/>
      <c r="KS55" s="31"/>
      <c r="KT55" s="31"/>
      <c r="KU55" s="31"/>
      <c r="KV55" s="31"/>
      <c r="KW55" s="31"/>
      <c r="KX55" s="31"/>
      <c r="KY55" s="31"/>
      <c r="KZ55" s="31"/>
      <c r="LA55" s="31"/>
      <c r="LB55" s="31"/>
      <c r="LC55" s="31"/>
      <c r="LD55" s="31"/>
      <c r="LE55" s="31"/>
      <c r="LF55" s="31"/>
      <c r="LG55" s="31"/>
      <c r="LH55" s="31"/>
      <c r="LI55" s="31"/>
      <c r="LJ55" s="31"/>
      <c r="LK55" s="31"/>
      <c r="LL55" s="31"/>
      <c r="LM55" s="31"/>
      <c r="LN55" s="31"/>
      <c r="LO55" s="31"/>
      <c r="LP55" s="31"/>
      <c r="LQ55" s="31"/>
      <c r="LR55" s="31"/>
      <c r="LS55" s="31"/>
      <c r="LT55" s="31"/>
      <c r="LU55" s="31"/>
      <c r="LV55" s="31"/>
      <c r="LW55" s="31"/>
      <c r="LX55" s="31"/>
      <c r="LY55" s="31"/>
      <c r="LZ55" s="31"/>
      <c r="MA55" s="31"/>
      <c r="MB55" s="31"/>
      <c r="MC55" s="31"/>
      <c r="MD55" s="31"/>
      <c r="ME55" s="31"/>
      <c r="MF55" s="31"/>
      <c r="MG55" s="31"/>
      <c r="MH55" s="31"/>
      <c r="MI55" s="31"/>
      <c r="MJ55" s="31"/>
      <c r="MK55" s="31"/>
      <c r="ML55" s="31"/>
      <c r="MM55" s="31"/>
      <c r="MN55" s="31"/>
      <c r="MO55" s="31"/>
      <c r="MP55" s="31"/>
      <c r="MQ55" s="31"/>
      <c r="MR55" s="31"/>
      <c r="MS55" s="31"/>
      <c r="MT55" s="31"/>
      <c r="MU55" s="31"/>
      <c r="MV55" s="31"/>
      <c r="MW55" s="31"/>
      <c r="MX55" s="31"/>
      <c r="MY55" s="31"/>
      <c r="MZ55" s="31"/>
      <c r="NA55" s="31"/>
      <c r="NB55" s="31"/>
      <c r="NC55" s="31"/>
      <c r="ND55" s="31"/>
      <c r="NE55" s="31"/>
      <c r="NF55" s="31"/>
      <c r="NG55" s="31"/>
      <c r="NH55" s="31"/>
      <c r="NI55" s="31"/>
      <c r="NJ55" s="31"/>
      <c r="NK55" s="31"/>
      <c r="NL55" s="31"/>
      <c r="NM55" s="31"/>
      <c r="NN55" s="31"/>
      <c r="NO55" s="31"/>
      <c r="NP55" s="31"/>
      <c r="NQ55" s="31"/>
      <c r="NR55" s="31"/>
      <c r="NS55" s="31"/>
      <c r="NT55" s="31"/>
      <c r="NU55" s="31"/>
      <c r="NV55" s="31"/>
      <c r="NW55" s="31"/>
      <c r="NX55" s="31"/>
      <c r="NY55" s="31"/>
      <c r="NZ55" s="31"/>
      <c r="OA55" s="31"/>
      <c r="OB55" s="31"/>
      <c r="OC55" s="31"/>
      <c r="OD55" s="31"/>
      <c r="OE55" s="31"/>
      <c r="OF55" s="31"/>
      <c r="OG55" s="31"/>
      <c r="OH55" s="31"/>
      <c r="OI55" s="31"/>
      <c r="OJ55" s="31"/>
      <c r="OK55" s="31"/>
      <c r="OL55" s="31"/>
      <c r="OM55" s="31"/>
      <c r="ON55" s="31"/>
      <c r="OO55" s="31"/>
      <c r="OP55" s="31"/>
      <c r="OQ55" s="31"/>
      <c r="OR55" s="31"/>
      <c r="OS55" s="31"/>
      <c r="OT55" s="31"/>
      <c r="OU55" s="31"/>
      <c r="OV55" s="31"/>
      <c r="OW55" s="31"/>
      <c r="OX55" s="31"/>
      <c r="OY55" s="31"/>
      <c r="OZ55" s="31"/>
      <c r="PA55" s="31"/>
      <c r="PB55" s="31"/>
      <c r="PC55" s="31"/>
      <c r="PD55" s="31"/>
      <c r="PE55" s="31"/>
      <c r="PF55" s="31"/>
      <c r="PG55" s="31"/>
      <c r="PH55" s="31"/>
      <c r="PI55" s="31"/>
      <c r="PJ55" s="31"/>
      <c r="PK55" s="31"/>
      <c r="PL55" s="31"/>
      <c r="PM55" s="31"/>
      <c r="PN55" s="31"/>
      <c r="PO55" s="31"/>
      <c r="PP55" s="31"/>
      <c r="PQ55" s="31"/>
      <c r="PR55" s="31"/>
      <c r="PS55" s="31"/>
      <c r="PT55" s="31"/>
      <c r="PU55" s="31"/>
      <c r="PV55" s="31"/>
      <c r="PW55" s="31"/>
      <c r="PX55" s="31"/>
      <c r="PY55" s="31"/>
      <c r="PZ55" s="31"/>
      <c r="QA55" s="31"/>
      <c r="QB55" s="31"/>
      <c r="QC55" s="31"/>
      <c r="QD55" s="31"/>
      <c r="QE55" s="31"/>
      <c r="QF55" s="31"/>
      <c r="QG55" s="31"/>
      <c r="QH55" s="31"/>
      <c r="QI55" s="31"/>
      <c r="QJ55" s="31"/>
      <c r="QK55" s="31"/>
      <c r="QL55" s="31"/>
      <c r="QM55" s="31"/>
      <c r="QN55" s="31"/>
      <c r="QO55" s="31"/>
      <c r="QP55" s="31"/>
      <c r="QQ55" s="31"/>
      <c r="QR55" s="31"/>
      <c r="QS55" s="31"/>
      <c r="QT55" s="31"/>
      <c r="QU55" s="31"/>
      <c r="QV55" s="31"/>
      <c r="QW55" s="31"/>
      <c r="QX55" s="31"/>
      <c r="QY55" s="31"/>
      <c r="QZ55" s="31"/>
      <c r="RA55" s="31"/>
      <c r="RB55" s="31"/>
      <c r="RC55" s="31"/>
      <c r="RD55" s="31"/>
      <c r="RE55" s="31"/>
      <c r="RF55" s="31"/>
      <c r="RG55" s="31"/>
      <c r="RH55" s="31"/>
      <c r="RI55" s="31"/>
      <c r="RJ55" s="31"/>
      <c r="RK55" s="31"/>
      <c r="RL55" s="31"/>
      <c r="RM55" s="31"/>
      <c r="RN55" s="31"/>
      <c r="RO55" s="31"/>
      <c r="RP55" s="31"/>
      <c r="RQ55" s="31"/>
      <c r="RR55" s="31"/>
      <c r="RS55" s="31"/>
      <c r="RT55" s="31"/>
      <c r="RU55" s="31"/>
      <c r="RV55" s="31"/>
      <c r="RW55" s="31"/>
      <c r="RX55" s="31"/>
      <c r="RY55" s="31"/>
      <c r="RZ55" s="31"/>
      <c r="SA55" s="31"/>
      <c r="SB55" s="31"/>
      <c r="SC55" s="31"/>
      <c r="SD55" s="78"/>
      <c r="SE55" s="31"/>
      <c r="SF55" s="31"/>
      <c r="SG55" s="31"/>
      <c r="SH55" s="31"/>
      <c r="SI55" s="31"/>
      <c r="SJ55" s="82"/>
      <c r="SK55" s="6"/>
    </row>
    <row r="56" ht="14.25" customHeight="1">
      <c r="A56" s="80" t="s">
        <v>567</v>
      </c>
      <c r="B56" s="30" t="s">
        <v>616</v>
      </c>
      <c r="C56" s="81"/>
      <c r="D56" s="74">
        <f t="shared" si="4"/>
        <v>0</v>
      </c>
      <c r="E56" s="78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  <c r="CW56" s="31"/>
      <c r="CX56" s="31"/>
      <c r="CY56" s="31"/>
      <c r="CZ56" s="31"/>
      <c r="DA56" s="31"/>
      <c r="DB56" s="31"/>
      <c r="DC56" s="31"/>
      <c r="DD56" s="31"/>
      <c r="DE56" s="31"/>
      <c r="DF56" s="31"/>
      <c r="DG56" s="31"/>
      <c r="DH56" s="31"/>
      <c r="DI56" s="31"/>
      <c r="DJ56" s="31"/>
      <c r="DK56" s="31"/>
      <c r="DL56" s="31"/>
      <c r="DM56" s="31"/>
      <c r="DN56" s="31"/>
      <c r="DO56" s="31"/>
      <c r="DP56" s="31"/>
      <c r="DQ56" s="31"/>
      <c r="DR56" s="31"/>
      <c r="DS56" s="31"/>
      <c r="DT56" s="31"/>
      <c r="DU56" s="31"/>
      <c r="DV56" s="31"/>
      <c r="DW56" s="31"/>
      <c r="DX56" s="31"/>
      <c r="DY56" s="31"/>
      <c r="DZ56" s="31"/>
      <c r="EA56" s="31"/>
      <c r="EB56" s="31"/>
      <c r="EC56" s="31"/>
      <c r="ED56" s="31"/>
      <c r="EE56" s="31"/>
      <c r="EF56" s="31"/>
      <c r="EG56" s="31"/>
      <c r="EH56" s="31"/>
      <c r="EI56" s="31"/>
      <c r="EJ56" s="31"/>
      <c r="EK56" s="31"/>
      <c r="EL56" s="31"/>
      <c r="EM56" s="31"/>
      <c r="EN56" s="31"/>
      <c r="EO56" s="31"/>
      <c r="EP56" s="31"/>
      <c r="EQ56" s="31"/>
      <c r="ER56" s="31"/>
      <c r="ES56" s="31"/>
      <c r="ET56" s="31"/>
      <c r="EU56" s="31"/>
      <c r="EV56" s="31"/>
      <c r="EW56" s="31"/>
      <c r="EX56" s="31"/>
      <c r="EY56" s="31"/>
      <c r="EZ56" s="31"/>
      <c r="FA56" s="31"/>
      <c r="FB56" s="31"/>
      <c r="FC56" s="31"/>
      <c r="FD56" s="31"/>
      <c r="FE56" s="31"/>
      <c r="FF56" s="31"/>
      <c r="FG56" s="31"/>
      <c r="FH56" s="31"/>
      <c r="FI56" s="31"/>
      <c r="FJ56" s="31"/>
      <c r="FK56" s="31"/>
      <c r="FL56" s="31"/>
      <c r="FM56" s="31"/>
      <c r="FN56" s="31"/>
      <c r="FO56" s="31"/>
      <c r="FP56" s="31"/>
      <c r="FQ56" s="31"/>
      <c r="FR56" s="31"/>
      <c r="FS56" s="31"/>
      <c r="FT56" s="31"/>
      <c r="FU56" s="31"/>
      <c r="FV56" s="31"/>
      <c r="FW56" s="31"/>
      <c r="FX56" s="31"/>
      <c r="FY56" s="31"/>
      <c r="FZ56" s="31"/>
      <c r="GA56" s="31"/>
      <c r="GB56" s="31"/>
      <c r="GC56" s="31"/>
      <c r="GD56" s="31"/>
      <c r="GE56" s="31"/>
      <c r="GF56" s="31"/>
      <c r="GG56" s="31"/>
      <c r="GH56" s="31"/>
      <c r="GI56" s="31"/>
      <c r="GJ56" s="31"/>
      <c r="GK56" s="31"/>
      <c r="GL56" s="31"/>
      <c r="GM56" s="31"/>
      <c r="GN56" s="31"/>
      <c r="GO56" s="31"/>
      <c r="GP56" s="31"/>
      <c r="GQ56" s="31"/>
      <c r="GR56" s="31"/>
      <c r="GS56" s="31"/>
      <c r="GT56" s="31"/>
      <c r="GU56" s="31"/>
      <c r="GV56" s="31"/>
      <c r="GW56" s="31"/>
      <c r="GX56" s="31"/>
      <c r="GY56" s="31"/>
      <c r="GZ56" s="31"/>
      <c r="HA56" s="31"/>
      <c r="HB56" s="31"/>
      <c r="HC56" s="31"/>
      <c r="HD56" s="31"/>
      <c r="HE56" s="31"/>
      <c r="HF56" s="31"/>
      <c r="HG56" s="31"/>
      <c r="HH56" s="31"/>
      <c r="HI56" s="31"/>
      <c r="HJ56" s="31"/>
      <c r="HK56" s="31"/>
      <c r="HL56" s="31"/>
      <c r="HM56" s="31"/>
      <c r="HN56" s="31"/>
      <c r="HO56" s="31"/>
      <c r="HP56" s="31"/>
      <c r="HQ56" s="31"/>
      <c r="HR56" s="31"/>
      <c r="HS56" s="31"/>
      <c r="HT56" s="31"/>
      <c r="HU56" s="31"/>
      <c r="HV56" s="31"/>
      <c r="HW56" s="31"/>
      <c r="HX56" s="31"/>
      <c r="HY56" s="31"/>
      <c r="HZ56" s="31"/>
      <c r="IA56" s="31"/>
      <c r="IB56" s="31"/>
      <c r="IC56" s="31"/>
      <c r="ID56" s="31"/>
      <c r="IE56" s="31"/>
      <c r="IF56" s="31"/>
      <c r="IG56" s="31"/>
      <c r="IH56" s="31"/>
      <c r="II56" s="31"/>
      <c r="IJ56" s="31"/>
      <c r="IK56" s="31"/>
      <c r="IL56" s="31"/>
      <c r="IM56" s="31"/>
      <c r="IN56" s="31"/>
      <c r="IO56" s="31"/>
      <c r="IP56" s="31"/>
      <c r="IQ56" s="31"/>
      <c r="IR56" s="31"/>
      <c r="IS56" s="31"/>
      <c r="IT56" s="31"/>
      <c r="IU56" s="31"/>
      <c r="IV56" s="31"/>
      <c r="IW56" s="31"/>
      <c r="IX56" s="31"/>
      <c r="IY56" s="31"/>
      <c r="IZ56" s="31"/>
      <c r="JA56" s="31"/>
      <c r="JB56" s="31"/>
      <c r="JC56" s="31"/>
      <c r="JD56" s="31"/>
      <c r="JE56" s="31"/>
      <c r="JF56" s="31"/>
      <c r="JG56" s="31"/>
      <c r="JH56" s="31"/>
      <c r="JI56" s="31"/>
      <c r="JJ56" s="31"/>
      <c r="JK56" s="31"/>
      <c r="JL56" s="31"/>
      <c r="JM56" s="31"/>
      <c r="JN56" s="31"/>
      <c r="JO56" s="31"/>
      <c r="JP56" s="31"/>
      <c r="JQ56" s="31"/>
      <c r="JR56" s="31"/>
      <c r="JS56" s="31"/>
      <c r="JT56" s="31"/>
      <c r="JU56" s="31"/>
      <c r="JV56" s="31"/>
      <c r="JW56" s="31"/>
      <c r="JX56" s="31"/>
      <c r="JY56" s="31"/>
      <c r="JZ56" s="31"/>
      <c r="KA56" s="31"/>
      <c r="KB56" s="31"/>
      <c r="KC56" s="31"/>
      <c r="KD56" s="31"/>
      <c r="KE56" s="31"/>
      <c r="KF56" s="31"/>
      <c r="KG56" s="31"/>
      <c r="KH56" s="31"/>
      <c r="KI56" s="31"/>
      <c r="KJ56" s="31"/>
      <c r="KK56" s="31"/>
      <c r="KL56" s="31"/>
      <c r="KM56" s="31"/>
      <c r="KN56" s="31"/>
      <c r="KO56" s="31"/>
      <c r="KP56" s="31"/>
      <c r="KQ56" s="31"/>
      <c r="KR56" s="31"/>
      <c r="KS56" s="31"/>
      <c r="KT56" s="31"/>
      <c r="KU56" s="31"/>
      <c r="KV56" s="31"/>
      <c r="KW56" s="31"/>
      <c r="KX56" s="31"/>
      <c r="KY56" s="31"/>
      <c r="KZ56" s="31"/>
      <c r="LA56" s="31"/>
      <c r="LB56" s="31"/>
      <c r="LC56" s="31"/>
      <c r="LD56" s="31"/>
      <c r="LE56" s="31"/>
      <c r="LF56" s="31"/>
      <c r="LG56" s="31"/>
      <c r="LH56" s="31"/>
      <c r="LI56" s="31"/>
      <c r="LJ56" s="31"/>
      <c r="LK56" s="31"/>
      <c r="LL56" s="31"/>
      <c r="LM56" s="31"/>
      <c r="LN56" s="31"/>
      <c r="LO56" s="31"/>
      <c r="LP56" s="31"/>
      <c r="LQ56" s="31"/>
      <c r="LR56" s="31"/>
      <c r="LS56" s="31"/>
      <c r="LT56" s="31"/>
      <c r="LU56" s="31"/>
      <c r="LV56" s="31"/>
      <c r="LW56" s="31"/>
      <c r="LX56" s="31"/>
      <c r="LY56" s="31"/>
      <c r="LZ56" s="31"/>
      <c r="MA56" s="31"/>
      <c r="MB56" s="31"/>
      <c r="MC56" s="31"/>
      <c r="MD56" s="31"/>
      <c r="ME56" s="31"/>
      <c r="MF56" s="31"/>
      <c r="MG56" s="31"/>
      <c r="MH56" s="31"/>
      <c r="MI56" s="31"/>
      <c r="MJ56" s="31"/>
      <c r="MK56" s="31"/>
      <c r="ML56" s="31"/>
      <c r="MM56" s="31"/>
      <c r="MN56" s="31"/>
      <c r="MO56" s="31"/>
      <c r="MP56" s="31"/>
      <c r="MQ56" s="31"/>
      <c r="MR56" s="31"/>
      <c r="MS56" s="31"/>
      <c r="MT56" s="31"/>
      <c r="MU56" s="31"/>
      <c r="MV56" s="31"/>
      <c r="MW56" s="31"/>
      <c r="MX56" s="31"/>
      <c r="MY56" s="31"/>
      <c r="MZ56" s="31"/>
      <c r="NA56" s="31"/>
      <c r="NB56" s="31"/>
      <c r="NC56" s="31"/>
      <c r="ND56" s="31"/>
      <c r="NE56" s="31"/>
      <c r="NF56" s="31"/>
      <c r="NG56" s="31"/>
      <c r="NH56" s="31"/>
      <c r="NI56" s="31"/>
      <c r="NJ56" s="31"/>
      <c r="NK56" s="31"/>
      <c r="NL56" s="31"/>
      <c r="NM56" s="31"/>
      <c r="NN56" s="31"/>
      <c r="NO56" s="31"/>
      <c r="NP56" s="31"/>
      <c r="NQ56" s="31"/>
      <c r="NR56" s="31"/>
      <c r="NS56" s="31"/>
      <c r="NT56" s="31"/>
      <c r="NU56" s="31"/>
      <c r="NV56" s="31"/>
      <c r="NW56" s="31"/>
      <c r="NX56" s="31"/>
      <c r="NY56" s="31"/>
      <c r="NZ56" s="31"/>
      <c r="OA56" s="31"/>
      <c r="OB56" s="31"/>
      <c r="OC56" s="31"/>
      <c r="OD56" s="31"/>
      <c r="OE56" s="31"/>
      <c r="OF56" s="31"/>
      <c r="OG56" s="31"/>
      <c r="OH56" s="31"/>
      <c r="OI56" s="31"/>
      <c r="OJ56" s="31"/>
      <c r="OK56" s="31"/>
      <c r="OL56" s="31"/>
      <c r="OM56" s="31"/>
      <c r="ON56" s="31"/>
      <c r="OO56" s="31"/>
      <c r="OP56" s="31"/>
      <c r="OQ56" s="31"/>
      <c r="OR56" s="31"/>
      <c r="OS56" s="31"/>
      <c r="OT56" s="31"/>
      <c r="OU56" s="31"/>
      <c r="OV56" s="31"/>
      <c r="OW56" s="31"/>
      <c r="OX56" s="31"/>
      <c r="OY56" s="31"/>
      <c r="OZ56" s="31"/>
      <c r="PA56" s="31"/>
      <c r="PB56" s="31"/>
      <c r="PC56" s="31"/>
      <c r="PD56" s="31"/>
      <c r="PE56" s="31"/>
      <c r="PF56" s="31"/>
      <c r="PG56" s="31"/>
      <c r="PH56" s="31"/>
      <c r="PI56" s="31"/>
      <c r="PJ56" s="31"/>
      <c r="PK56" s="31"/>
      <c r="PL56" s="31"/>
      <c r="PM56" s="31"/>
      <c r="PN56" s="31"/>
      <c r="PO56" s="31"/>
      <c r="PP56" s="31"/>
      <c r="PQ56" s="31"/>
      <c r="PR56" s="31"/>
      <c r="PS56" s="31"/>
      <c r="PT56" s="31"/>
      <c r="PU56" s="31"/>
      <c r="PV56" s="31"/>
      <c r="PW56" s="31"/>
      <c r="PX56" s="31"/>
      <c r="PY56" s="31"/>
      <c r="PZ56" s="31"/>
      <c r="QA56" s="31"/>
      <c r="QB56" s="31"/>
      <c r="QC56" s="31"/>
      <c r="QD56" s="31"/>
      <c r="QE56" s="31"/>
      <c r="QF56" s="31"/>
      <c r="QG56" s="31"/>
      <c r="QH56" s="31"/>
      <c r="QI56" s="31"/>
      <c r="QJ56" s="31"/>
      <c r="QK56" s="31"/>
      <c r="QL56" s="31"/>
      <c r="QM56" s="31"/>
      <c r="QN56" s="31"/>
      <c r="QO56" s="31"/>
      <c r="QP56" s="31"/>
      <c r="QQ56" s="31"/>
      <c r="QR56" s="31"/>
      <c r="QS56" s="31"/>
      <c r="QT56" s="31"/>
      <c r="QU56" s="31"/>
      <c r="QV56" s="31"/>
      <c r="QW56" s="31"/>
      <c r="QX56" s="31"/>
      <c r="QY56" s="31"/>
      <c r="QZ56" s="31"/>
      <c r="RA56" s="31"/>
      <c r="RB56" s="31"/>
      <c r="RC56" s="31"/>
      <c r="RD56" s="31"/>
      <c r="RE56" s="31"/>
      <c r="RF56" s="31"/>
      <c r="RG56" s="31"/>
      <c r="RH56" s="31"/>
      <c r="RI56" s="31"/>
      <c r="RJ56" s="31"/>
      <c r="RK56" s="31"/>
      <c r="RL56" s="31"/>
      <c r="RM56" s="31"/>
      <c r="RN56" s="31"/>
      <c r="RO56" s="31"/>
      <c r="RP56" s="31"/>
      <c r="RQ56" s="31"/>
      <c r="RR56" s="31"/>
      <c r="RS56" s="31"/>
      <c r="RT56" s="31"/>
      <c r="RU56" s="31"/>
      <c r="RV56" s="31"/>
      <c r="RW56" s="31"/>
      <c r="RX56" s="31"/>
      <c r="RY56" s="31"/>
      <c r="RZ56" s="31"/>
      <c r="SA56" s="31"/>
      <c r="SB56" s="31"/>
      <c r="SC56" s="31"/>
      <c r="SD56" s="78"/>
      <c r="SE56" s="31"/>
      <c r="SF56" s="31"/>
      <c r="SG56" s="31"/>
      <c r="SH56" s="31"/>
      <c r="SI56" s="31"/>
      <c r="SJ56" s="82"/>
      <c r="SK56" s="6"/>
    </row>
    <row r="57" ht="14.25" customHeight="1">
      <c r="A57" s="80" t="s">
        <v>567</v>
      </c>
      <c r="B57" s="30" t="s">
        <v>617</v>
      </c>
      <c r="C57" s="81"/>
      <c r="D57" s="74">
        <f t="shared" si="4"/>
        <v>0</v>
      </c>
      <c r="E57" s="78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  <c r="DB57" s="31"/>
      <c r="DC57" s="31"/>
      <c r="DD57" s="31"/>
      <c r="DE57" s="31"/>
      <c r="DF57" s="31"/>
      <c r="DG57" s="31"/>
      <c r="DH57" s="31"/>
      <c r="DI57" s="31"/>
      <c r="DJ57" s="31"/>
      <c r="DK57" s="31"/>
      <c r="DL57" s="31"/>
      <c r="DM57" s="31"/>
      <c r="DN57" s="31"/>
      <c r="DO57" s="31"/>
      <c r="DP57" s="31"/>
      <c r="DQ57" s="31"/>
      <c r="DR57" s="31"/>
      <c r="DS57" s="31"/>
      <c r="DT57" s="31"/>
      <c r="DU57" s="31"/>
      <c r="DV57" s="31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31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31"/>
      <c r="FF57" s="31"/>
      <c r="FG57" s="31"/>
      <c r="FH57" s="31"/>
      <c r="FI57" s="31"/>
      <c r="FJ57" s="31"/>
      <c r="FK57" s="31"/>
      <c r="FL57" s="31"/>
      <c r="FM57" s="31"/>
      <c r="FN57" s="31"/>
      <c r="FO57" s="31"/>
      <c r="FP57" s="31"/>
      <c r="FQ57" s="31"/>
      <c r="FR57" s="31"/>
      <c r="FS57" s="31"/>
      <c r="FT57" s="31"/>
      <c r="FU57" s="31"/>
      <c r="FV57" s="31"/>
      <c r="FW57" s="31"/>
      <c r="FX57" s="31"/>
      <c r="FY57" s="31"/>
      <c r="FZ57" s="31"/>
      <c r="GA57" s="31"/>
      <c r="GB57" s="31"/>
      <c r="GC57" s="31"/>
      <c r="GD57" s="31"/>
      <c r="GE57" s="31"/>
      <c r="GF57" s="31"/>
      <c r="GG57" s="31"/>
      <c r="GH57" s="31"/>
      <c r="GI57" s="31"/>
      <c r="GJ57" s="31"/>
      <c r="GK57" s="31"/>
      <c r="GL57" s="31"/>
      <c r="GM57" s="31"/>
      <c r="GN57" s="31"/>
      <c r="GO57" s="31"/>
      <c r="GP57" s="31"/>
      <c r="GQ57" s="31"/>
      <c r="GR57" s="31"/>
      <c r="GS57" s="31"/>
      <c r="GT57" s="31"/>
      <c r="GU57" s="31"/>
      <c r="GV57" s="31"/>
      <c r="GW57" s="31"/>
      <c r="GX57" s="31"/>
      <c r="GY57" s="31"/>
      <c r="GZ57" s="31"/>
      <c r="HA57" s="31"/>
      <c r="HB57" s="31"/>
      <c r="HC57" s="31"/>
      <c r="HD57" s="31"/>
      <c r="HE57" s="31"/>
      <c r="HF57" s="31"/>
      <c r="HG57" s="31"/>
      <c r="HH57" s="31"/>
      <c r="HI57" s="31"/>
      <c r="HJ57" s="31"/>
      <c r="HK57" s="31"/>
      <c r="HL57" s="31"/>
      <c r="HM57" s="31"/>
      <c r="HN57" s="31"/>
      <c r="HO57" s="31"/>
      <c r="HP57" s="31"/>
      <c r="HQ57" s="31"/>
      <c r="HR57" s="31"/>
      <c r="HS57" s="31"/>
      <c r="HT57" s="31"/>
      <c r="HU57" s="31"/>
      <c r="HV57" s="31"/>
      <c r="HW57" s="31"/>
      <c r="HX57" s="31"/>
      <c r="HY57" s="31"/>
      <c r="HZ57" s="31"/>
      <c r="IA57" s="31"/>
      <c r="IB57" s="31"/>
      <c r="IC57" s="31"/>
      <c r="ID57" s="31"/>
      <c r="IE57" s="31"/>
      <c r="IF57" s="31"/>
      <c r="IG57" s="31"/>
      <c r="IH57" s="31"/>
      <c r="II57" s="31"/>
      <c r="IJ57" s="31"/>
      <c r="IK57" s="31"/>
      <c r="IL57" s="31"/>
      <c r="IM57" s="31"/>
      <c r="IN57" s="31"/>
      <c r="IO57" s="31"/>
      <c r="IP57" s="31"/>
      <c r="IQ57" s="31"/>
      <c r="IR57" s="31"/>
      <c r="IS57" s="31"/>
      <c r="IT57" s="31"/>
      <c r="IU57" s="31"/>
      <c r="IV57" s="31"/>
      <c r="IW57" s="31"/>
      <c r="IX57" s="31"/>
      <c r="IY57" s="31"/>
      <c r="IZ57" s="31"/>
      <c r="JA57" s="31"/>
      <c r="JB57" s="31"/>
      <c r="JC57" s="31"/>
      <c r="JD57" s="31"/>
      <c r="JE57" s="31"/>
      <c r="JF57" s="31"/>
      <c r="JG57" s="31"/>
      <c r="JH57" s="31"/>
      <c r="JI57" s="31"/>
      <c r="JJ57" s="31"/>
      <c r="JK57" s="31"/>
      <c r="JL57" s="31"/>
      <c r="JM57" s="31"/>
      <c r="JN57" s="31"/>
      <c r="JO57" s="31"/>
      <c r="JP57" s="31"/>
      <c r="JQ57" s="31"/>
      <c r="JR57" s="31"/>
      <c r="JS57" s="31"/>
      <c r="JT57" s="31"/>
      <c r="JU57" s="31"/>
      <c r="JV57" s="31"/>
      <c r="JW57" s="31"/>
      <c r="JX57" s="31"/>
      <c r="JY57" s="31"/>
      <c r="JZ57" s="31"/>
      <c r="KA57" s="31"/>
      <c r="KB57" s="31"/>
      <c r="KC57" s="31"/>
      <c r="KD57" s="31"/>
      <c r="KE57" s="31"/>
      <c r="KF57" s="31"/>
      <c r="KG57" s="31"/>
      <c r="KH57" s="31"/>
      <c r="KI57" s="31"/>
      <c r="KJ57" s="31"/>
      <c r="KK57" s="31"/>
      <c r="KL57" s="31"/>
      <c r="KM57" s="31"/>
      <c r="KN57" s="31"/>
      <c r="KO57" s="31"/>
      <c r="KP57" s="31"/>
      <c r="KQ57" s="31"/>
      <c r="KR57" s="31"/>
      <c r="KS57" s="31"/>
      <c r="KT57" s="31"/>
      <c r="KU57" s="31"/>
      <c r="KV57" s="31"/>
      <c r="KW57" s="31"/>
      <c r="KX57" s="31"/>
      <c r="KY57" s="31"/>
      <c r="KZ57" s="31"/>
      <c r="LA57" s="31"/>
      <c r="LB57" s="31"/>
      <c r="LC57" s="31"/>
      <c r="LD57" s="31"/>
      <c r="LE57" s="31"/>
      <c r="LF57" s="31"/>
      <c r="LG57" s="31"/>
      <c r="LH57" s="31"/>
      <c r="LI57" s="31"/>
      <c r="LJ57" s="31"/>
      <c r="LK57" s="31"/>
      <c r="LL57" s="31"/>
      <c r="LM57" s="31"/>
      <c r="LN57" s="31"/>
      <c r="LO57" s="31"/>
      <c r="LP57" s="31"/>
      <c r="LQ57" s="31"/>
      <c r="LR57" s="31"/>
      <c r="LS57" s="31"/>
      <c r="LT57" s="31"/>
      <c r="LU57" s="31"/>
      <c r="LV57" s="31"/>
      <c r="LW57" s="31"/>
      <c r="LX57" s="31"/>
      <c r="LY57" s="31"/>
      <c r="LZ57" s="31"/>
      <c r="MA57" s="31"/>
      <c r="MB57" s="31"/>
      <c r="MC57" s="31"/>
      <c r="MD57" s="31"/>
      <c r="ME57" s="31"/>
      <c r="MF57" s="31"/>
      <c r="MG57" s="31"/>
      <c r="MH57" s="31"/>
      <c r="MI57" s="31"/>
      <c r="MJ57" s="31"/>
      <c r="MK57" s="31"/>
      <c r="ML57" s="31"/>
      <c r="MM57" s="31"/>
      <c r="MN57" s="31"/>
      <c r="MO57" s="31"/>
      <c r="MP57" s="31"/>
      <c r="MQ57" s="31"/>
      <c r="MR57" s="31"/>
      <c r="MS57" s="31"/>
      <c r="MT57" s="31"/>
      <c r="MU57" s="31"/>
      <c r="MV57" s="31"/>
      <c r="MW57" s="31"/>
      <c r="MX57" s="31"/>
      <c r="MY57" s="31"/>
      <c r="MZ57" s="31"/>
      <c r="NA57" s="31"/>
      <c r="NB57" s="31"/>
      <c r="NC57" s="31"/>
      <c r="ND57" s="31"/>
      <c r="NE57" s="31"/>
      <c r="NF57" s="31"/>
      <c r="NG57" s="31"/>
      <c r="NH57" s="31"/>
      <c r="NI57" s="31"/>
      <c r="NJ57" s="31"/>
      <c r="NK57" s="31"/>
      <c r="NL57" s="31"/>
      <c r="NM57" s="31"/>
      <c r="NN57" s="31"/>
      <c r="NO57" s="31"/>
      <c r="NP57" s="31"/>
      <c r="NQ57" s="31"/>
      <c r="NR57" s="31"/>
      <c r="NS57" s="31"/>
      <c r="NT57" s="31"/>
      <c r="NU57" s="31"/>
      <c r="NV57" s="31"/>
      <c r="NW57" s="31"/>
      <c r="NX57" s="31"/>
      <c r="NY57" s="31"/>
      <c r="NZ57" s="31"/>
      <c r="OA57" s="31"/>
      <c r="OB57" s="31"/>
      <c r="OC57" s="31"/>
      <c r="OD57" s="31"/>
      <c r="OE57" s="31"/>
      <c r="OF57" s="31"/>
      <c r="OG57" s="31"/>
      <c r="OH57" s="31"/>
      <c r="OI57" s="31"/>
      <c r="OJ57" s="31"/>
      <c r="OK57" s="31"/>
      <c r="OL57" s="31"/>
      <c r="OM57" s="31"/>
      <c r="ON57" s="31"/>
      <c r="OO57" s="31"/>
      <c r="OP57" s="31"/>
      <c r="OQ57" s="31"/>
      <c r="OR57" s="31"/>
      <c r="OS57" s="31"/>
      <c r="OT57" s="31"/>
      <c r="OU57" s="31"/>
      <c r="OV57" s="31"/>
      <c r="OW57" s="31"/>
      <c r="OX57" s="31"/>
      <c r="OY57" s="31"/>
      <c r="OZ57" s="31"/>
      <c r="PA57" s="31"/>
      <c r="PB57" s="31"/>
      <c r="PC57" s="31"/>
      <c r="PD57" s="31"/>
      <c r="PE57" s="31"/>
      <c r="PF57" s="31"/>
      <c r="PG57" s="31"/>
      <c r="PH57" s="31"/>
      <c r="PI57" s="31"/>
      <c r="PJ57" s="31"/>
      <c r="PK57" s="31"/>
      <c r="PL57" s="31"/>
      <c r="PM57" s="31"/>
      <c r="PN57" s="31"/>
      <c r="PO57" s="31"/>
      <c r="PP57" s="31"/>
      <c r="PQ57" s="31"/>
      <c r="PR57" s="31"/>
      <c r="PS57" s="31"/>
      <c r="PT57" s="31"/>
      <c r="PU57" s="31"/>
      <c r="PV57" s="31"/>
      <c r="PW57" s="31"/>
      <c r="PX57" s="31"/>
      <c r="PY57" s="31"/>
      <c r="PZ57" s="31"/>
      <c r="QA57" s="31"/>
      <c r="QB57" s="31"/>
      <c r="QC57" s="31"/>
      <c r="QD57" s="31"/>
      <c r="QE57" s="31"/>
      <c r="QF57" s="31"/>
      <c r="QG57" s="31"/>
      <c r="QH57" s="31"/>
      <c r="QI57" s="31"/>
      <c r="QJ57" s="31"/>
      <c r="QK57" s="31"/>
      <c r="QL57" s="31"/>
      <c r="QM57" s="31"/>
      <c r="QN57" s="31"/>
      <c r="QO57" s="31"/>
      <c r="QP57" s="31"/>
      <c r="QQ57" s="31"/>
      <c r="QR57" s="31"/>
      <c r="QS57" s="31"/>
      <c r="QT57" s="31"/>
      <c r="QU57" s="31"/>
      <c r="QV57" s="31"/>
      <c r="QW57" s="31"/>
      <c r="QX57" s="31"/>
      <c r="QY57" s="31"/>
      <c r="QZ57" s="31"/>
      <c r="RA57" s="31"/>
      <c r="RB57" s="31"/>
      <c r="RC57" s="31"/>
      <c r="RD57" s="31"/>
      <c r="RE57" s="31"/>
      <c r="RF57" s="31"/>
      <c r="RG57" s="31"/>
      <c r="RH57" s="31"/>
      <c r="RI57" s="31"/>
      <c r="RJ57" s="31"/>
      <c r="RK57" s="31"/>
      <c r="RL57" s="31"/>
      <c r="RM57" s="31"/>
      <c r="RN57" s="31"/>
      <c r="RO57" s="31"/>
      <c r="RP57" s="31"/>
      <c r="RQ57" s="31"/>
      <c r="RR57" s="31"/>
      <c r="RS57" s="31"/>
      <c r="RT57" s="31"/>
      <c r="RU57" s="31"/>
      <c r="RV57" s="31"/>
      <c r="RW57" s="31"/>
      <c r="RX57" s="31"/>
      <c r="RY57" s="31"/>
      <c r="RZ57" s="31"/>
      <c r="SA57" s="31"/>
      <c r="SB57" s="31"/>
      <c r="SC57" s="31"/>
      <c r="SD57" s="31"/>
      <c r="SE57" s="31"/>
      <c r="SF57" s="31"/>
      <c r="SG57" s="31"/>
      <c r="SH57" s="31"/>
      <c r="SI57" s="31"/>
      <c r="SJ57" s="82"/>
      <c r="SK57" s="6"/>
    </row>
    <row r="58" ht="14.25" customHeight="1">
      <c r="A58" s="80" t="s">
        <v>567</v>
      </c>
      <c r="B58" s="30" t="s">
        <v>618</v>
      </c>
      <c r="C58" s="81"/>
      <c r="D58" s="74">
        <f t="shared" si="4"/>
        <v>553</v>
      </c>
      <c r="E58" s="78"/>
      <c r="F58" s="31"/>
      <c r="G58" s="31"/>
      <c r="H58" s="83">
        <v>37.5</v>
      </c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83">
        <v>110.5</v>
      </c>
      <c r="Z58" s="31"/>
      <c r="AA58" s="31"/>
      <c r="AB58" s="31"/>
      <c r="AC58" s="31"/>
      <c r="AD58" s="31"/>
      <c r="AE58" s="31"/>
      <c r="AF58" s="83">
        <v>10.0</v>
      </c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83">
        <v>130.5</v>
      </c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83">
        <v>139.5</v>
      </c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83">
        <v>125.0</v>
      </c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  <c r="CW58" s="31"/>
      <c r="CX58" s="31"/>
      <c r="CY58" s="31"/>
      <c r="CZ58" s="31"/>
      <c r="DA58" s="31"/>
      <c r="DB58" s="31"/>
      <c r="DC58" s="31"/>
      <c r="DD58" s="31"/>
      <c r="DE58" s="31"/>
      <c r="DF58" s="31"/>
      <c r="DG58" s="31"/>
      <c r="DH58" s="31"/>
      <c r="DI58" s="31"/>
      <c r="DJ58" s="31"/>
      <c r="DK58" s="31"/>
      <c r="DL58" s="31"/>
      <c r="DM58" s="31"/>
      <c r="DN58" s="31"/>
      <c r="DO58" s="31"/>
      <c r="DP58" s="31"/>
      <c r="DQ58" s="31"/>
      <c r="DR58" s="31"/>
      <c r="DS58" s="31"/>
      <c r="DT58" s="31"/>
      <c r="DU58" s="31"/>
      <c r="DV58" s="31"/>
      <c r="DW58" s="31"/>
      <c r="DX58" s="31"/>
      <c r="DY58" s="31"/>
      <c r="DZ58" s="31"/>
      <c r="EA58" s="31"/>
      <c r="EB58" s="31"/>
      <c r="EC58" s="31"/>
      <c r="ED58" s="31"/>
      <c r="EE58" s="31"/>
      <c r="EF58" s="31"/>
      <c r="EG58" s="31"/>
      <c r="EH58" s="31"/>
      <c r="EI58" s="31"/>
      <c r="EJ58" s="31"/>
      <c r="EK58" s="31"/>
      <c r="EL58" s="31"/>
      <c r="EM58" s="31"/>
      <c r="EN58" s="31"/>
      <c r="EO58" s="31"/>
      <c r="EP58" s="31"/>
      <c r="EQ58" s="31"/>
      <c r="ER58" s="31"/>
      <c r="ES58" s="31"/>
      <c r="ET58" s="31"/>
      <c r="EU58" s="31"/>
      <c r="EV58" s="31"/>
      <c r="EW58" s="31"/>
      <c r="EX58" s="31"/>
      <c r="EY58" s="31"/>
      <c r="EZ58" s="31"/>
      <c r="FA58" s="31"/>
      <c r="FB58" s="31"/>
      <c r="FC58" s="31"/>
      <c r="FD58" s="31"/>
      <c r="FE58" s="31"/>
      <c r="FF58" s="31"/>
      <c r="FG58" s="31"/>
      <c r="FH58" s="31"/>
      <c r="FI58" s="31"/>
      <c r="FJ58" s="31"/>
      <c r="FK58" s="31"/>
      <c r="FL58" s="31"/>
      <c r="FM58" s="31"/>
      <c r="FN58" s="31"/>
      <c r="FO58" s="31"/>
      <c r="FP58" s="31"/>
      <c r="FQ58" s="31"/>
      <c r="FR58" s="31"/>
      <c r="FS58" s="31"/>
      <c r="FT58" s="31"/>
      <c r="FU58" s="31"/>
      <c r="FV58" s="31"/>
      <c r="FW58" s="31"/>
      <c r="FX58" s="31"/>
      <c r="FY58" s="31"/>
      <c r="FZ58" s="31"/>
      <c r="GA58" s="31"/>
      <c r="GB58" s="31"/>
      <c r="GC58" s="31"/>
      <c r="GD58" s="31"/>
      <c r="GE58" s="31"/>
      <c r="GF58" s="31"/>
      <c r="GG58" s="31"/>
      <c r="GH58" s="31"/>
      <c r="GI58" s="31"/>
      <c r="GJ58" s="31"/>
      <c r="GK58" s="31"/>
      <c r="GL58" s="31"/>
      <c r="GM58" s="31"/>
      <c r="GN58" s="31"/>
      <c r="GO58" s="31"/>
      <c r="GP58" s="31"/>
      <c r="GQ58" s="31"/>
      <c r="GR58" s="31"/>
      <c r="GS58" s="31"/>
      <c r="GT58" s="31"/>
      <c r="GU58" s="31"/>
      <c r="GV58" s="31"/>
      <c r="GW58" s="31"/>
      <c r="GX58" s="31"/>
      <c r="GY58" s="31"/>
      <c r="GZ58" s="31"/>
      <c r="HA58" s="31"/>
      <c r="HB58" s="31"/>
      <c r="HC58" s="31"/>
      <c r="HD58" s="31"/>
      <c r="HE58" s="31"/>
      <c r="HF58" s="31"/>
      <c r="HG58" s="31"/>
      <c r="HH58" s="31"/>
      <c r="HI58" s="31"/>
      <c r="HJ58" s="31"/>
      <c r="HK58" s="31"/>
      <c r="HL58" s="31"/>
      <c r="HM58" s="31"/>
      <c r="HN58" s="31"/>
      <c r="HO58" s="31"/>
      <c r="HP58" s="31"/>
      <c r="HQ58" s="31"/>
      <c r="HR58" s="31"/>
      <c r="HS58" s="31"/>
      <c r="HT58" s="31"/>
      <c r="HU58" s="31"/>
      <c r="HV58" s="31"/>
      <c r="HW58" s="31"/>
      <c r="HX58" s="31"/>
      <c r="HY58" s="31"/>
      <c r="HZ58" s="31"/>
      <c r="IA58" s="31"/>
      <c r="IB58" s="31"/>
      <c r="IC58" s="31"/>
      <c r="ID58" s="31"/>
      <c r="IE58" s="31"/>
      <c r="IF58" s="31"/>
      <c r="IG58" s="31"/>
      <c r="IH58" s="31"/>
      <c r="II58" s="31"/>
      <c r="IJ58" s="31"/>
      <c r="IK58" s="31"/>
      <c r="IL58" s="31"/>
      <c r="IM58" s="31"/>
      <c r="IN58" s="31"/>
      <c r="IO58" s="31"/>
      <c r="IP58" s="31"/>
      <c r="IQ58" s="31"/>
      <c r="IR58" s="31"/>
      <c r="IS58" s="31"/>
      <c r="IT58" s="31"/>
      <c r="IU58" s="31"/>
      <c r="IV58" s="31"/>
      <c r="IW58" s="31"/>
      <c r="IX58" s="31"/>
      <c r="IY58" s="31"/>
      <c r="IZ58" s="31"/>
      <c r="JA58" s="31"/>
      <c r="JB58" s="31"/>
      <c r="JC58" s="31"/>
      <c r="JD58" s="31"/>
      <c r="JE58" s="31"/>
      <c r="JF58" s="31"/>
      <c r="JG58" s="31"/>
      <c r="JH58" s="31"/>
      <c r="JI58" s="31"/>
      <c r="JJ58" s="31"/>
      <c r="JK58" s="31"/>
      <c r="JL58" s="31"/>
      <c r="JM58" s="31"/>
      <c r="JN58" s="31"/>
      <c r="JO58" s="31"/>
      <c r="JP58" s="31"/>
      <c r="JQ58" s="31"/>
      <c r="JR58" s="31"/>
      <c r="JS58" s="31"/>
      <c r="JT58" s="31"/>
      <c r="JU58" s="31"/>
      <c r="JV58" s="31"/>
      <c r="JW58" s="31"/>
      <c r="JX58" s="31"/>
      <c r="JY58" s="31"/>
      <c r="JZ58" s="31"/>
      <c r="KA58" s="31"/>
      <c r="KB58" s="31"/>
      <c r="KC58" s="31"/>
      <c r="KD58" s="31"/>
      <c r="KE58" s="31"/>
      <c r="KF58" s="31"/>
      <c r="KG58" s="31"/>
      <c r="KH58" s="31"/>
      <c r="KI58" s="31"/>
      <c r="KJ58" s="31"/>
      <c r="KK58" s="31"/>
      <c r="KL58" s="31"/>
      <c r="KM58" s="31"/>
      <c r="KN58" s="31"/>
      <c r="KO58" s="31"/>
      <c r="KP58" s="31"/>
      <c r="KQ58" s="31"/>
      <c r="KR58" s="31"/>
      <c r="KS58" s="31"/>
      <c r="KT58" s="31"/>
      <c r="KU58" s="31"/>
      <c r="KV58" s="31"/>
      <c r="KW58" s="31"/>
      <c r="KX58" s="31"/>
      <c r="KY58" s="31"/>
      <c r="KZ58" s="31"/>
      <c r="LA58" s="31"/>
      <c r="LB58" s="31"/>
      <c r="LC58" s="31"/>
      <c r="LD58" s="31"/>
      <c r="LE58" s="31"/>
      <c r="LF58" s="31"/>
      <c r="LG58" s="31"/>
      <c r="LH58" s="31"/>
      <c r="LI58" s="31"/>
      <c r="LJ58" s="31"/>
      <c r="LK58" s="31"/>
      <c r="LL58" s="31"/>
      <c r="LM58" s="31"/>
      <c r="LN58" s="31"/>
      <c r="LO58" s="31"/>
      <c r="LP58" s="31"/>
      <c r="LQ58" s="31"/>
      <c r="LR58" s="31"/>
      <c r="LS58" s="31"/>
      <c r="LT58" s="31"/>
      <c r="LU58" s="31"/>
      <c r="LV58" s="31"/>
      <c r="LW58" s="31"/>
      <c r="LX58" s="31"/>
      <c r="LY58" s="31"/>
      <c r="LZ58" s="31"/>
      <c r="MA58" s="31"/>
      <c r="MB58" s="31"/>
      <c r="MC58" s="31"/>
      <c r="MD58" s="31"/>
      <c r="ME58" s="31"/>
      <c r="MF58" s="31"/>
      <c r="MG58" s="31"/>
      <c r="MH58" s="31"/>
      <c r="MI58" s="31"/>
      <c r="MJ58" s="31"/>
      <c r="MK58" s="31"/>
      <c r="ML58" s="31"/>
      <c r="MM58" s="31"/>
      <c r="MN58" s="31"/>
      <c r="MO58" s="31"/>
      <c r="MP58" s="31"/>
      <c r="MQ58" s="31"/>
      <c r="MR58" s="31"/>
      <c r="MS58" s="31"/>
      <c r="MT58" s="31"/>
      <c r="MU58" s="31"/>
      <c r="MV58" s="31"/>
      <c r="MW58" s="31"/>
      <c r="MX58" s="31"/>
      <c r="MY58" s="31"/>
      <c r="MZ58" s="31"/>
      <c r="NA58" s="31"/>
      <c r="NB58" s="31"/>
      <c r="NC58" s="31"/>
      <c r="ND58" s="31"/>
      <c r="NE58" s="31"/>
      <c r="NF58" s="31"/>
      <c r="NG58" s="31"/>
      <c r="NH58" s="31"/>
      <c r="NI58" s="31"/>
      <c r="NJ58" s="31"/>
      <c r="NK58" s="31"/>
      <c r="NL58" s="31"/>
      <c r="NM58" s="31"/>
      <c r="NN58" s="31"/>
      <c r="NO58" s="31"/>
      <c r="NP58" s="31"/>
      <c r="NQ58" s="31"/>
      <c r="NR58" s="31"/>
      <c r="NS58" s="31"/>
      <c r="NT58" s="31"/>
      <c r="NU58" s="31"/>
      <c r="NV58" s="31"/>
      <c r="NW58" s="31"/>
      <c r="NX58" s="31"/>
      <c r="NY58" s="31"/>
      <c r="NZ58" s="31"/>
      <c r="OA58" s="31"/>
      <c r="OB58" s="31"/>
      <c r="OC58" s="31"/>
      <c r="OD58" s="31"/>
      <c r="OE58" s="31"/>
      <c r="OF58" s="31"/>
      <c r="OG58" s="31"/>
      <c r="OH58" s="31"/>
      <c r="OI58" s="31"/>
      <c r="OJ58" s="31"/>
      <c r="OK58" s="31"/>
      <c r="OL58" s="31"/>
      <c r="OM58" s="31"/>
      <c r="ON58" s="31"/>
      <c r="OO58" s="31"/>
      <c r="OP58" s="31"/>
      <c r="OQ58" s="31"/>
      <c r="OR58" s="31"/>
      <c r="OS58" s="31"/>
      <c r="OT58" s="31"/>
      <c r="OU58" s="31"/>
      <c r="OV58" s="31"/>
      <c r="OW58" s="31"/>
      <c r="OX58" s="31"/>
      <c r="OY58" s="31"/>
      <c r="OZ58" s="31"/>
      <c r="PA58" s="31"/>
      <c r="PB58" s="31"/>
      <c r="PC58" s="31"/>
      <c r="PD58" s="31"/>
      <c r="PE58" s="31"/>
      <c r="PF58" s="31"/>
      <c r="PG58" s="31"/>
      <c r="PH58" s="31"/>
      <c r="PI58" s="31"/>
      <c r="PJ58" s="31"/>
      <c r="PK58" s="31"/>
      <c r="PL58" s="31"/>
      <c r="PM58" s="31"/>
      <c r="PN58" s="31"/>
      <c r="PO58" s="31"/>
      <c r="PP58" s="31"/>
      <c r="PQ58" s="31"/>
      <c r="PR58" s="31"/>
      <c r="PS58" s="31"/>
      <c r="PT58" s="31"/>
      <c r="PU58" s="31"/>
      <c r="PV58" s="31"/>
      <c r="PW58" s="31"/>
      <c r="PX58" s="31"/>
      <c r="PY58" s="31"/>
      <c r="PZ58" s="31"/>
      <c r="QA58" s="31"/>
      <c r="QB58" s="31"/>
      <c r="QC58" s="31"/>
      <c r="QD58" s="31"/>
      <c r="QE58" s="31"/>
      <c r="QF58" s="31"/>
      <c r="QG58" s="31"/>
      <c r="QH58" s="31"/>
      <c r="QI58" s="31"/>
      <c r="QJ58" s="31"/>
      <c r="QK58" s="31"/>
      <c r="QL58" s="31"/>
      <c r="QM58" s="31"/>
      <c r="QN58" s="31"/>
      <c r="QO58" s="31"/>
      <c r="QP58" s="31"/>
      <c r="QQ58" s="31"/>
      <c r="QR58" s="31"/>
      <c r="QS58" s="31"/>
      <c r="QT58" s="31"/>
      <c r="QU58" s="31"/>
      <c r="QV58" s="31"/>
      <c r="QW58" s="31"/>
      <c r="QX58" s="31"/>
      <c r="QY58" s="31"/>
      <c r="QZ58" s="31"/>
      <c r="RA58" s="31"/>
      <c r="RB58" s="31"/>
      <c r="RC58" s="31"/>
      <c r="RD58" s="31"/>
      <c r="RE58" s="31"/>
      <c r="RF58" s="31"/>
      <c r="RG58" s="31"/>
      <c r="RH58" s="31"/>
      <c r="RI58" s="31"/>
      <c r="RJ58" s="31"/>
      <c r="RK58" s="31"/>
      <c r="RL58" s="31"/>
      <c r="RM58" s="31"/>
      <c r="RN58" s="31"/>
      <c r="RO58" s="31"/>
      <c r="RP58" s="31"/>
      <c r="RQ58" s="31"/>
      <c r="RR58" s="31"/>
      <c r="RS58" s="31"/>
      <c r="RT58" s="31"/>
      <c r="RU58" s="31"/>
      <c r="RV58" s="31"/>
      <c r="RW58" s="31"/>
      <c r="RX58" s="31"/>
      <c r="RY58" s="31"/>
      <c r="RZ58" s="31"/>
      <c r="SA58" s="31"/>
      <c r="SB58" s="31"/>
      <c r="SC58" s="31"/>
      <c r="SD58" s="31"/>
      <c r="SE58" s="31"/>
      <c r="SF58" s="31"/>
      <c r="SG58" s="31"/>
      <c r="SH58" s="31"/>
      <c r="SI58" s="31"/>
      <c r="SJ58" s="82"/>
      <c r="SK58" s="6"/>
    </row>
    <row r="59" ht="14.25" customHeight="1">
      <c r="A59" s="80" t="s">
        <v>567</v>
      </c>
      <c r="B59" s="30" t="s">
        <v>619</v>
      </c>
      <c r="C59" s="81"/>
      <c r="D59" s="74">
        <f t="shared" si="4"/>
        <v>0</v>
      </c>
      <c r="E59" s="78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  <c r="CW59" s="31"/>
      <c r="CX59" s="31"/>
      <c r="CY59" s="31"/>
      <c r="CZ59" s="31"/>
      <c r="DA59" s="31"/>
      <c r="DB59" s="31"/>
      <c r="DC59" s="31"/>
      <c r="DD59" s="31"/>
      <c r="DE59" s="31"/>
      <c r="DF59" s="31"/>
      <c r="DG59" s="31"/>
      <c r="DH59" s="31"/>
      <c r="DI59" s="31"/>
      <c r="DJ59" s="31"/>
      <c r="DK59" s="31"/>
      <c r="DL59" s="31"/>
      <c r="DM59" s="31"/>
      <c r="DN59" s="31"/>
      <c r="DO59" s="31"/>
      <c r="DP59" s="31"/>
      <c r="DQ59" s="31"/>
      <c r="DR59" s="31"/>
      <c r="DS59" s="31"/>
      <c r="DT59" s="31"/>
      <c r="DU59" s="31"/>
      <c r="DV59" s="31"/>
      <c r="DW59" s="31"/>
      <c r="DX59" s="31"/>
      <c r="DY59" s="31"/>
      <c r="DZ59" s="31"/>
      <c r="EA59" s="31"/>
      <c r="EB59" s="31"/>
      <c r="EC59" s="31"/>
      <c r="ED59" s="31"/>
      <c r="EE59" s="31"/>
      <c r="EF59" s="31"/>
      <c r="EG59" s="31"/>
      <c r="EH59" s="31"/>
      <c r="EI59" s="31"/>
      <c r="EJ59" s="31"/>
      <c r="EK59" s="31"/>
      <c r="EL59" s="31"/>
      <c r="EM59" s="31"/>
      <c r="EN59" s="31"/>
      <c r="EO59" s="31"/>
      <c r="EP59" s="31"/>
      <c r="EQ59" s="31"/>
      <c r="ER59" s="31"/>
      <c r="ES59" s="31"/>
      <c r="ET59" s="31"/>
      <c r="EU59" s="31"/>
      <c r="EV59" s="31"/>
      <c r="EW59" s="31"/>
      <c r="EX59" s="31"/>
      <c r="EY59" s="31"/>
      <c r="EZ59" s="31"/>
      <c r="FA59" s="31"/>
      <c r="FB59" s="31"/>
      <c r="FC59" s="31"/>
      <c r="FD59" s="31"/>
      <c r="FE59" s="31"/>
      <c r="FF59" s="31"/>
      <c r="FG59" s="31"/>
      <c r="FH59" s="31"/>
      <c r="FI59" s="31"/>
      <c r="FJ59" s="31"/>
      <c r="FK59" s="31"/>
      <c r="FL59" s="31"/>
      <c r="FM59" s="31"/>
      <c r="FN59" s="31"/>
      <c r="FO59" s="31"/>
      <c r="FP59" s="31"/>
      <c r="FQ59" s="31"/>
      <c r="FR59" s="31"/>
      <c r="FS59" s="31"/>
      <c r="FT59" s="31"/>
      <c r="FU59" s="31"/>
      <c r="FV59" s="31"/>
      <c r="FW59" s="31"/>
      <c r="FX59" s="31"/>
      <c r="FY59" s="31"/>
      <c r="FZ59" s="31"/>
      <c r="GA59" s="31"/>
      <c r="GB59" s="31"/>
      <c r="GC59" s="31"/>
      <c r="GD59" s="31"/>
      <c r="GE59" s="31"/>
      <c r="GF59" s="31"/>
      <c r="GG59" s="31"/>
      <c r="GH59" s="31"/>
      <c r="GI59" s="31"/>
      <c r="GJ59" s="31"/>
      <c r="GK59" s="31"/>
      <c r="GL59" s="31"/>
      <c r="GM59" s="31"/>
      <c r="GN59" s="31"/>
      <c r="GO59" s="31"/>
      <c r="GP59" s="31"/>
      <c r="GQ59" s="31"/>
      <c r="GR59" s="31"/>
      <c r="GS59" s="31"/>
      <c r="GT59" s="31"/>
      <c r="GU59" s="31"/>
      <c r="GV59" s="31"/>
      <c r="GW59" s="31"/>
      <c r="GX59" s="31"/>
      <c r="GY59" s="31"/>
      <c r="GZ59" s="31"/>
      <c r="HA59" s="31"/>
      <c r="HB59" s="31"/>
      <c r="HC59" s="31"/>
      <c r="HD59" s="31"/>
      <c r="HE59" s="31"/>
      <c r="HF59" s="31"/>
      <c r="HG59" s="31"/>
      <c r="HH59" s="31"/>
      <c r="HI59" s="31"/>
      <c r="HJ59" s="31"/>
      <c r="HK59" s="31"/>
      <c r="HL59" s="31"/>
      <c r="HM59" s="31"/>
      <c r="HN59" s="31"/>
      <c r="HO59" s="31"/>
      <c r="HP59" s="31"/>
      <c r="HQ59" s="31"/>
      <c r="HR59" s="31"/>
      <c r="HS59" s="31"/>
      <c r="HT59" s="31"/>
      <c r="HU59" s="31"/>
      <c r="HV59" s="31"/>
      <c r="HW59" s="31"/>
      <c r="HX59" s="31"/>
      <c r="HY59" s="31"/>
      <c r="HZ59" s="31"/>
      <c r="IA59" s="31"/>
      <c r="IB59" s="31"/>
      <c r="IC59" s="31"/>
      <c r="ID59" s="31"/>
      <c r="IE59" s="31"/>
      <c r="IF59" s="31"/>
      <c r="IG59" s="31"/>
      <c r="IH59" s="31"/>
      <c r="II59" s="31"/>
      <c r="IJ59" s="31"/>
      <c r="IK59" s="31"/>
      <c r="IL59" s="31"/>
      <c r="IM59" s="31"/>
      <c r="IN59" s="31"/>
      <c r="IO59" s="31"/>
      <c r="IP59" s="31"/>
      <c r="IQ59" s="31"/>
      <c r="IR59" s="31"/>
      <c r="IS59" s="31"/>
      <c r="IT59" s="31"/>
      <c r="IU59" s="31"/>
      <c r="IV59" s="31"/>
      <c r="IW59" s="31"/>
      <c r="IX59" s="31"/>
      <c r="IY59" s="31"/>
      <c r="IZ59" s="31"/>
      <c r="JA59" s="31"/>
      <c r="JB59" s="31"/>
      <c r="JC59" s="31"/>
      <c r="JD59" s="31"/>
      <c r="JE59" s="31"/>
      <c r="JF59" s="31"/>
      <c r="JG59" s="31"/>
      <c r="JH59" s="31"/>
      <c r="JI59" s="31"/>
      <c r="JJ59" s="31"/>
      <c r="JK59" s="31"/>
      <c r="JL59" s="31"/>
      <c r="JM59" s="31"/>
      <c r="JN59" s="31"/>
      <c r="JO59" s="31"/>
      <c r="JP59" s="31"/>
      <c r="JQ59" s="31"/>
      <c r="JR59" s="31"/>
      <c r="JS59" s="31"/>
      <c r="JT59" s="31"/>
      <c r="JU59" s="31"/>
      <c r="JV59" s="31"/>
      <c r="JW59" s="31"/>
      <c r="JX59" s="31"/>
      <c r="JY59" s="31"/>
      <c r="JZ59" s="31"/>
      <c r="KA59" s="31"/>
      <c r="KB59" s="31"/>
      <c r="KC59" s="31"/>
      <c r="KD59" s="31"/>
      <c r="KE59" s="31"/>
      <c r="KF59" s="31"/>
      <c r="KG59" s="31"/>
      <c r="KH59" s="31"/>
      <c r="KI59" s="31"/>
      <c r="KJ59" s="31"/>
      <c r="KK59" s="31"/>
      <c r="KL59" s="31"/>
      <c r="KM59" s="31"/>
      <c r="KN59" s="31"/>
      <c r="KO59" s="31"/>
      <c r="KP59" s="31"/>
      <c r="KQ59" s="31"/>
      <c r="KR59" s="31"/>
      <c r="KS59" s="31"/>
      <c r="KT59" s="31"/>
      <c r="KU59" s="31"/>
      <c r="KV59" s="31"/>
      <c r="KW59" s="31"/>
      <c r="KX59" s="31"/>
      <c r="KY59" s="31"/>
      <c r="KZ59" s="31"/>
      <c r="LA59" s="31"/>
      <c r="LB59" s="31"/>
      <c r="LC59" s="31"/>
      <c r="LD59" s="31"/>
      <c r="LE59" s="31"/>
      <c r="LF59" s="31"/>
      <c r="LG59" s="31"/>
      <c r="LH59" s="31"/>
      <c r="LI59" s="31"/>
      <c r="LJ59" s="31"/>
      <c r="LK59" s="31"/>
      <c r="LL59" s="31"/>
      <c r="LM59" s="31"/>
      <c r="LN59" s="31"/>
      <c r="LO59" s="31"/>
      <c r="LP59" s="31"/>
      <c r="LQ59" s="31"/>
      <c r="LR59" s="31"/>
      <c r="LS59" s="31"/>
      <c r="LT59" s="31"/>
      <c r="LU59" s="31"/>
      <c r="LV59" s="31"/>
      <c r="LW59" s="31"/>
      <c r="LX59" s="31"/>
      <c r="LY59" s="31"/>
      <c r="LZ59" s="31"/>
      <c r="MA59" s="31"/>
      <c r="MB59" s="31"/>
      <c r="MC59" s="31"/>
      <c r="MD59" s="31"/>
      <c r="ME59" s="31"/>
      <c r="MF59" s="31"/>
      <c r="MG59" s="31"/>
      <c r="MH59" s="31"/>
      <c r="MI59" s="31"/>
      <c r="MJ59" s="31"/>
      <c r="MK59" s="31"/>
      <c r="ML59" s="31"/>
      <c r="MM59" s="31"/>
      <c r="MN59" s="31"/>
      <c r="MO59" s="31"/>
      <c r="MP59" s="31"/>
      <c r="MQ59" s="31"/>
      <c r="MR59" s="31"/>
      <c r="MS59" s="31"/>
      <c r="MT59" s="31"/>
      <c r="MU59" s="31"/>
      <c r="MV59" s="31"/>
      <c r="MW59" s="31"/>
      <c r="MX59" s="31"/>
      <c r="MY59" s="31"/>
      <c r="MZ59" s="31"/>
      <c r="NA59" s="31"/>
      <c r="NB59" s="31"/>
      <c r="NC59" s="31"/>
      <c r="ND59" s="31"/>
      <c r="NE59" s="31"/>
      <c r="NF59" s="31"/>
      <c r="NG59" s="31"/>
      <c r="NH59" s="31"/>
      <c r="NI59" s="31"/>
      <c r="NJ59" s="31"/>
      <c r="NK59" s="31"/>
      <c r="NL59" s="31"/>
      <c r="NM59" s="31"/>
      <c r="NN59" s="31"/>
      <c r="NO59" s="31"/>
      <c r="NP59" s="31"/>
      <c r="NQ59" s="31"/>
      <c r="NR59" s="31"/>
      <c r="NS59" s="31"/>
      <c r="NT59" s="31"/>
      <c r="NU59" s="31"/>
      <c r="NV59" s="31"/>
      <c r="NW59" s="31"/>
      <c r="NX59" s="31"/>
      <c r="NY59" s="31"/>
      <c r="NZ59" s="31"/>
      <c r="OA59" s="31"/>
      <c r="OB59" s="31"/>
      <c r="OC59" s="31"/>
      <c r="OD59" s="31"/>
      <c r="OE59" s="31"/>
      <c r="OF59" s="31"/>
      <c r="OG59" s="31"/>
      <c r="OH59" s="31"/>
      <c r="OI59" s="31"/>
      <c r="OJ59" s="31"/>
      <c r="OK59" s="31"/>
      <c r="OL59" s="31"/>
      <c r="OM59" s="31"/>
      <c r="ON59" s="31"/>
      <c r="OO59" s="31"/>
      <c r="OP59" s="31"/>
      <c r="OQ59" s="31"/>
      <c r="OR59" s="31"/>
      <c r="OS59" s="31"/>
      <c r="OT59" s="31"/>
      <c r="OU59" s="31"/>
      <c r="OV59" s="31"/>
      <c r="OW59" s="31"/>
      <c r="OX59" s="31"/>
      <c r="OY59" s="31"/>
      <c r="OZ59" s="31"/>
      <c r="PA59" s="31"/>
      <c r="PB59" s="31"/>
      <c r="PC59" s="31"/>
      <c r="PD59" s="31"/>
      <c r="PE59" s="31"/>
      <c r="PF59" s="31"/>
      <c r="PG59" s="31"/>
      <c r="PH59" s="31"/>
      <c r="PI59" s="31"/>
      <c r="PJ59" s="31"/>
      <c r="PK59" s="31"/>
      <c r="PL59" s="31"/>
      <c r="PM59" s="31"/>
      <c r="PN59" s="31"/>
      <c r="PO59" s="31"/>
      <c r="PP59" s="31"/>
      <c r="PQ59" s="31"/>
      <c r="PR59" s="31"/>
      <c r="PS59" s="31"/>
      <c r="PT59" s="31"/>
      <c r="PU59" s="31"/>
      <c r="PV59" s="31"/>
      <c r="PW59" s="31"/>
      <c r="PX59" s="31"/>
      <c r="PY59" s="31"/>
      <c r="PZ59" s="31"/>
      <c r="QA59" s="31"/>
      <c r="QB59" s="31"/>
      <c r="QC59" s="31"/>
      <c r="QD59" s="31"/>
      <c r="QE59" s="31"/>
      <c r="QF59" s="31"/>
      <c r="QG59" s="31"/>
      <c r="QH59" s="31"/>
      <c r="QI59" s="31"/>
      <c r="QJ59" s="31"/>
      <c r="QK59" s="31"/>
      <c r="QL59" s="31"/>
      <c r="QM59" s="31"/>
      <c r="QN59" s="31"/>
      <c r="QO59" s="31"/>
      <c r="QP59" s="31"/>
      <c r="QQ59" s="31"/>
      <c r="QR59" s="31"/>
      <c r="QS59" s="31"/>
      <c r="QT59" s="31"/>
      <c r="QU59" s="31"/>
      <c r="QV59" s="31"/>
      <c r="QW59" s="31"/>
      <c r="QX59" s="31"/>
      <c r="QY59" s="31"/>
      <c r="QZ59" s="31"/>
      <c r="RA59" s="31"/>
      <c r="RB59" s="31"/>
      <c r="RC59" s="31"/>
      <c r="RD59" s="31"/>
      <c r="RE59" s="31"/>
      <c r="RF59" s="31"/>
      <c r="RG59" s="31"/>
      <c r="RH59" s="31"/>
      <c r="RI59" s="31"/>
      <c r="RJ59" s="31"/>
      <c r="RK59" s="31"/>
      <c r="RL59" s="31"/>
      <c r="RM59" s="31"/>
      <c r="RN59" s="31"/>
      <c r="RO59" s="31"/>
      <c r="RP59" s="31"/>
      <c r="RQ59" s="31"/>
      <c r="RR59" s="31"/>
      <c r="RS59" s="31"/>
      <c r="RT59" s="31"/>
      <c r="RU59" s="31"/>
      <c r="RV59" s="31"/>
      <c r="RW59" s="31"/>
      <c r="RX59" s="31"/>
      <c r="RY59" s="31"/>
      <c r="RZ59" s="31"/>
      <c r="SA59" s="31"/>
      <c r="SB59" s="31"/>
      <c r="SC59" s="31"/>
      <c r="SD59" s="78"/>
      <c r="SE59" s="31"/>
      <c r="SF59" s="31"/>
      <c r="SG59" s="31"/>
      <c r="SH59" s="31"/>
      <c r="SI59" s="31"/>
      <c r="SJ59" s="82"/>
      <c r="SK59" s="6"/>
    </row>
    <row r="60" ht="14.25" customHeight="1">
      <c r="A60" s="80" t="s">
        <v>567</v>
      </c>
      <c r="B60" s="30" t="s">
        <v>620</v>
      </c>
      <c r="C60" s="81"/>
      <c r="D60" s="74">
        <f t="shared" si="4"/>
        <v>0</v>
      </c>
      <c r="E60" s="78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  <c r="DB60" s="31"/>
      <c r="DC60" s="31"/>
      <c r="DD60" s="31"/>
      <c r="DE60" s="31"/>
      <c r="DF60" s="31"/>
      <c r="DG60" s="31"/>
      <c r="DH60" s="31"/>
      <c r="DI60" s="31"/>
      <c r="DJ60" s="31"/>
      <c r="DK60" s="31"/>
      <c r="DL60" s="31"/>
      <c r="DM60" s="31"/>
      <c r="DN60" s="31"/>
      <c r="DO60" s="31"/>
      <c r="DP60" s="31"/>
      <c r="DQ60" s="31"/>
      <c r="DR60" s="31"/>
      <c r="DS60" s="31"/>
      <c r="DT60" s="31"/>
      <c r="DU60" s="31"/>
      <c r="DV60" s="31"/>
      <c r="DW60" s="31"/>
      <c r="DX60" s="31"/>
      <c r="DY60" s="31"/>
      <c r="DZ60" s="31"/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31"/>
      <c r="EM60" s="31"/>
      <c r="EN60" s="31"/>
      <c r="EO60" s="31"/>
      <c r="EP60" s="31"/>
      <c r="EQ60" s="31"/>
      <c r="ER60" s="31"/>
      <c r="ES60" s="31"/>
      <c r="ET60" s="31"/>
      <c r="EU60" s="31"/>
      <c r="EV60" s="31"/>
      <c r="EW60" s="31"/>
      <c r="EX60" s="31"/>
      <c r="EY60" s="31"/>
      <c r="EZ60" s="31"/>
      <c r="FA60" s="31"/>
      <c r="FB60" s="31"/>
      <c r="FC60" s="31"/>
      <c r="FD60" s="31"/>
      <c r="FE60" s="31"/>
      <c r="FF60" s="31"/>
      <c r="FG60" s="31"/>
      <c r="FH60" s="31"/>
      <c r="FI60" s="31"/>
      <c r="FJ60" s="31"/>
      <c r="FK60" s="31"/>
      <c r="FL60" s="31"/>
      <c r="FM60" s="31"/>
      <c r="FN60" s="31"/>
      <c r="FO60" s="31"/>
      <c r="FP60" s="31"/>
      <c r="FQ60" s="31"/>
      <c r="FR60" s="31"/>
      <c r="FS60" s="31"/>
      <c r="FT60" s="31"/>
      <c r="FU60" s="31"/>
      <c r="FV60" s="31"/>
      <c r="FW60" s="31"/>
      <c r="FX60" s="31"/>
      <c r="FY60" s="31"/>
      <c r="FZ60" s="31"/>
      <c r="GA60" s="31"/>
      <c r="GB60" s="31"/>
      <c r="GC60" s="31"/>
      <c r="GD60" s="31"/>
      <c r="GE60" s="31"/>
      <c r="GF60" s="31"/>
      <c r="GG60" s="31"/>
      <c r="GH60" s="31"/>
      <c r="GI60" s="31"/>
      <c r="GJ60" s="31"/>
      <c r="GK60" s="31"/>
      <c r="GL60" s="31"/>
      <c r="GM60" s="31"/>
      <c r="GN60" s="31"/>
      <c r="GO60" s="31"/>
      <c r="GP60" s="31"/>
      <c r="GQ60" s="31"/>
      <c r="GR60" s="31"/>
      <c r="GS60" s="31"/>
      <c r="GT60" s="31"/>
      <c r="GU60" s="31"/>
      <c r="GV60" s="31"/>
      <c r="GW60" s="31"/>
      <c r="GX60" s="31"/>
      <c r="GY60" s="31"/>
      <c r="GZ60" s="31"/>
      <c r="HA60" s="31"/>
      <c r="HB60" s="31"/>
      <c r="HC60" s="31"/>
      <c r="HD60" s="31"/>
      <c r="HE60" s="31"/>
      <c r="HF60" s="31"/>
      <c r="HG60" s="31"/>
      <c r="HH60" s="31"/>
      <c r="HI60" s="31"/>
      <c r="HJ60" s="31"/>
      <c r="HK60" s="31"/>
      <c r="HL60" s="31"/>
      <c r="HM60" s="31"/>
      <c r="HN60" s="31"/>
      <c r="HO60" s="31"/>
      <c r="HP60" s="31"/>
      <c r="HQ60" s="31"/>
      <c r="HR60" s="31"/>
      <c r="HS60" s="31"/>
      <c r="HT60" s="31"/>
      <c r="HU60" s="31"/>
      <c r="HV60" s="31"/>
      <c r="HW60" s="31"/>
      <c r="HX60" s="31"/>
      <c r="HY60" s="31"/>
      <c r="HZ60" s="31"/>
      <c r="IA60" s="31"/>
      <c r="IB60" s="31"/>
      <c r="IC60" s="31"/>
      <c r="ID60" s="31"/>
      <c r="IE60" s="31"/>
      <c r="IF60" s="31"/>
      <c r="IG60" s="31"/>
      <c r="IH60" s="31"/>
      <c r="II60" s="31"/>
      <c r="IJ60" s="31"/>
      <c r="IK60" s="31"/>
      <c r="IL60" s="31"/>
      <c r="IM60" s="31"/>
      <c r="IN60" s="31"/>
      <c r="IO60" s="31"/>
      <c r="IP60" s="31"/>
      <c r="IQ60" s="31"/>
      <c r="IR60" s="31"/>
      <c r="IS60" s="31"/>
      <c r="IT60" s="31"/>
      <c r="IU60" s="31"/>
      <c r="IV60" s="31"/>
      <c r="IW60" s="31"/>
      <c r="IX60" s="31"/>
      <c r="IY60" s="31"/>
      <c r="IZ60" s="31"/>
      <c r="JA60" s="31"/>
      <c r="JB60" s="31"/>
      <c r="JC60" s="31"/>
      <c r="JD60" s="31"/>
      <c r="JE60" s="31"/>
      <c r="JF60" s="31"/>
      <c r="JG60" s="31"/>
      <c r="JH60" s="31"/>
      <c r="JI60" s="31"/>
      <c r="JJ60" s="31"/>
      <c r="JK60" s="31"/>
      <c r="JL60" s="31"/>
      <c r="JM60" s="31"/>
      <c r="JN60" s="31"/>
      <c r="JO60" s="31"/>
      <c r="JP60" s="31"/>
      <c r="JQ60" s="31"/>
      <c r="JR60" s="31"/>
      <c r="JS60" s="31"/>
      <c r="JT60" s="31"/>
      <c r="JU60" s="31"/>
      <c r="JV60" s="31"/>
      <c r="JW60" s="31"/>
      <c r="JX60" s="31"/>
      <c r="JY60" s="31"/>
      <c r="JZ60" s="31"/>
      <c r="KA60" s="31"/>
      <c r="KB60" s="31"/>
      <c r="KC60" s="31"/>
      <c r="KD60" s="31"/>
      <c r="KE60" s="31"/>
      <c r="KF60" s="31"/>
      <c r="KG60" s="31"/>
      <c r="KH60" s="31"/>
      <c r="KI60" s="31"/>
      <c r="KJ60" s="31"/>
      <c r="KK60" s="31"/>
      <c r="KL60" s="31"/>
      <c r="KM60" s="31"/>
      <c r="KN60" s="31"/>
      <c r="KO60" s="31"/>
      <c r="KP60" s="31"/>
      <c r="KQ60" s="31"/>
      <c r="KR60" s="31"/>
      <c r="KS60" s="31"/>
      <c r="KT60" s="31"/>
      <c r="KU60" s="31"/>
      <c r="KV60" s="31"/>
      <c r="KW60" s="31"/>
      <c r="KX60" s="31"/>
      <c r="KY60" s="31"/>
      <c r="KZ60" s="31"/>
      <c r="LA60" s="31"/>
      <c r="LB60" s="31"/>
      <c r="LC60" s="31"/>
      <c r="LD60" s="31"/>
      <c r="LE60" s="31"/>
      <c r="LF60" s="31"/>
      <c r="LG60" s="31"/>
      <c r="LH60" s="31"/>
      <c r="LI60" s="31"/>
      <c r="LJ60" s="31"/>
      <c r="LK60" s="31"/>
      <c r="LL60" s="31"/>
      <c r="LM60" s="31"/>
      <c r="LN60" s="31"/>
      <c r="LO60" s="31"/>
      <c r="LP60" s="31"/>
      <c r="LQ60" s="31"/>
      <c r="LR60" s="31"/>
      <c r="LS60" s="31"/>
      <c r="LT60" s="31"/>
      <c r="LU60" s="31"/>
      <c r="LV60" s="31"/>
      <c r="LW60" s="31"/>
      <c r="LX60" s="31"/>
      <c r="LY60" s="31"/>
      <c r="LZ60" s="31"/>
      <c r="MA60" s="31"/>
      <c r="MB60" s="31"/>
      <c r="MC60" s="31"/>
      <c r="MD60" s="31"/>
      <c r="ME60" s="31"/>
      <c r="MF60" s="31"/>
      <c r="MG60" s="31"/>
      <c r="MH60" s="31"/>
      <c r="MI60" s="31"/>
      <c r="MJ60" s="31"/>
      <c r="MK60" s="31"/>
      <c r="ML60" s="31"/>
      <c r="MM60" s="31"/>
      <c r="MN60" s="31"/>
      <c r="MO60" s="31"/>
      <c r="MP60" s="31"/>
      <c r="MQ60" s="31"/>
      <c r="MR60" s="31"/>
      <c r="MS60" s="31"/>
      <c r="MT60" s="31"/>
      <c r="MU60" s="31"/>
      <c r="MV60" s="31"/>
      <c r="MW60" s="31"/>
      <c r="MX60" s="31"/>
      <c r="MY60" s="31"/>
      <c r="MZ60" s="31"/>
      <c r="NA60" s="31"/>
      <c r="NB60" s="31"/>
      <c r="NC60" s="31"/>
      <c r="ND60" s="31"/>
      <c r="NE60" s="31"/>
      <c r="NF60" s="31"/>
      <c r="NG60" s="31"/>
      <c r="NH60" s="31"/>
      <c r="NI60" s="31"/>
      <c r="NJ60" s="31"/>
      <c r="NK60" s="31"/>
      <c r="NL60" s="31"/>
      <c r="NM60" s="31"/>
      <c r="NN60" s="31"/>
      <c r="NO60" s="31"/>
      <c r="NP60" s="31"/>
      <c r="NQ60" s="31"/>
      <c r="NR60" s="31"/>
      <c r="NS60" s="31"/>
      <c r="NT60" s="31"/>
      <c r="NU60" s="31"/>
      <c r="NV60" s="31"/>
      <c r="NW60" s="31"/>
      <c r="NX60" s="31"/>
      <c r="NY60" s="31"/>
      <c r="NZ60" s="31"/>
      <c r="OA60" s="31"/>
      <c r="OB60" s="31"/>
      <c r="OC60" s="31"/>
      <c r="OD60" s="31"/>
      <c r="OE60" s="31"/>
      <c r="OF60" s="31"/>
      <c r="OG60" s="31"/>
      <c r="OH60" s="31"/>
      <c r="OI60" s="31"/>
      <c r="OJ60" s="31"/>
      <c r="OK60" s="31"/>
      <c r="OL60" s="31"/>
      <c r="OM60" s="31"/>
      <c r="ON60" s="31"/>
      <c r="OO60" s="31"/>
      <c r="OP60" s="31"/>
      <c r="OQ60" s="31"/>
      <c r="OR60" s="31"/>
      <c r="OS60" s="31"/>
      <c r="OT60" s="31"/>
      <c r="OU60" s="31"/>
      <c r="OV60" s="31"/>
      <c r="OW60" s="31"/>
      <c r="OX60" s="31"/>
      <c r="OY60" s="31"/>
      <c r="OZ60" s="31"/>
      <c r="PA60" s="31"/>
      <c r="PB60" s="31"/>
      <c r="PC60" s="31"/>
      <c r="PD60" s="31"/>
      <c r="PE60" s="31"/>
      <c r="PF60" s="31"/>
      <c r="PG60" s="31"/>
      <c r="PH60" s="31"/>
      <c r="PI60" s="31"/>
      <c r="PJ60" s="31"/>
      <c r="PK60" s="31"/>
      <c r="PL60" s="31"/>
      <c r="PM60" s="31"/>
      <c r="PN60" s="31"/>
      <c r="PO60" s="31"/>
      <c r="PP60" s="31"/>
      <c r="PQ60" s="31"/>
      <c r="PR60" s="31"/>
      <c r="PS60" s="31"/>
      <c r="PT60" s="31"/>
      <c r="PU60" s="31"/>
      <c r="PV60" s="31"/>
      <c r="PW60" s="31"/>
      <c r="PX60" s="31"/>
      <c r="PY60" s="31"/>
      <c r="PZ60" s="31"/>
      <c r="QA60" s="31"/>
      <c r="QB60" s="31"/>
      <c r="QC60" s="31"/>
      <c r="QD60" s="31"/>
      <c r="QE60" s="31"/>
      <c r="QF60" s="31"/>
      <c r="QG60" s="31"/>
      <c r="QH60" s="31"/>
      <c r="QI60" s="31"/>
      <c r="QJ60" s="31"/>
      <c r="QK60" s="31"/>
      <c r="QL60" s="31"/>
      <c r="QM60" s="31"/>
      <c r="QN60" s="31"/>
      <c r="QO60" s="31"/>
      <c r="QP60" s="31"/>
      <c r="QQ60" s="31"/>
      <c r="QR60" s="31"/>
      <c r="QS60" s="31"/>
      <c r="QT60" s="31"/>
      <c r="QU60" s="31"/>
      <c r="QV60" s="31"/>
      <c r="QW60" s="31"/>
      <c r="QX60" s="31"/>
      <c r="QY60" s="31"/>
      <c r="QZ60" s="31"/>
      <c r="RA60" s="31"/>
      <c r="RB60" s="31"/>
      <c r="RC60" s="31"/>
      <c r="RD60" s="31"/>
      <c r="RE60" s="31"/>
      <c r="RF60" s="31"/>
      <c r="RG60" s="31"/>
      <c r="RH60" s="31"/>
      <c r="RI60" s="31"/>
      <c r="RJ60" s="31"/>
      <c r="RK60" s="31"/>
      <c r="RL60" s="31"/>
      <c r="RM60" s="31"/>
      <c r="RN60" s="31"/>
      <c r="RO60" s="31"/>
      <c r="RP60" s="31"/>
      <c r="RQ60" s="31"/>
      <c r="RR60" s="31"/>
      <c r="RS60" s="31"/>
      <c r="RT60" s="31"/>
      <c r="RU60" s="31"/>
      <c r="RV60" s="31"/>
      <c r="RW60" s="31"/>
      <c r="RX60" s="31"/>
      <c r="RY60" s="31"/>
      <c r="RZ60" s="31"/>
      <c r="SA60" s="31"/>
      <c r="SB60" s="31"/>
      <c r="SC60" s="31"/>
      <c r="SD60" s="78"/>
      <c r="SE60" s="31"/>
      <c r="SF60" s="31"/>
      <c r="SG60" s="31"/>
      <c r="SH60" s="31"/>
      <c r="SI60" s="31"/>
      <c r="SJ60" s="82"/>
      <c r="SK60" s="6"/>
    </row>
    <row r="61" ht="14.25" customHeight="1">
      <c r="A61" s="113" t="s">
        <v>567</v>
      </c>
      <c r="B61" s="94" t="s">
        <v>621</v>
      </c>
      <c r="C61" s="95"/>
      <c r="D61" s="74">
        <f t="shared" si="4"/>
        <v>0</v>
      </c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  <c r="AH61" s="96"/>
      <c r="AI61" s="96"/>
      <c r="AJ61" s="96"/>
      <c r="AK61" s="96"/>
      <c r="AL61" s="96"/>
      <c r="AM61" s="96"/>
      <c r="AN61" s="96"/>
      <c r="AO61" s="96"/>
      <c r="AP61" s="96"/>
      <c r="AQ61" s="96"/>
      <c r="AR61" s="96"/>
      <c r="AS61" s="96"/>
      <c r="AT61" s="96"/>
      <c r="AU61" s="96"/>
      <c r="AV61" s="96"/>
      <c r="AW61" s="96"/>
      <c r="AX61" s="96"/>
      <c r="AY61" s="96"/>
      <c r="AZ61" s="96"/>
      <c r="BA61" s="96"/>
      <c r="BB61" s="96"/>
      <c r="BC61" s="96"/>
      <c r="BD61" s="96"/>
      <c r="BE61" s="96"/>
      <c r="BF61" s="96"/>
      <c r="BG61" s="96"/>
      <c r="BH61" s="96"/>
      <c r="BI61" s="96"/>
      <c r="BJ61" s="96"/>
      <c r="BK61" s="96"/>
      <c r="BL61" s="96"/>
      <c r="BM61" s="96"/>
      <c r="BN61" s="96"/>
      <c r="BO61" s="96"/>
      <c r="BP61" s="96"/>
      <c r="BQ61" s="96"/>
      <c r="BR61" s="96"/>
      <c r="BS61" s="96"/>
      <c r="BT61" s="96"/>
      <c r="BU61" s="96"/>
      <c r="BV61" s="96"/>
      <c r="BW61" s="96"/>
      <c r="BX61" s="96"/>
      <c r="BY61" s="96"/>
      <c r="BZ61" s="96"/>
      <c r="CA61" s="96"/>
      <c r="CB61" s="96"/>
      <c r="CC61" s="96"/>
      <c r="CD61" s="96"/>
      <c r="CE61" s="96"/>
      <c r="CF61" s="96"/>
      <c r="CG61" s="96"/>
      <c r="CH61" s="96"/>
      <c r="CI61" s="96"/>
      <c r="CJ61" s="96"/>
      <c r="CK61" s="96"/>
      <c r="CL61" s="96"/>
      <c r="CM61" s="96"/>
      <c r="CN61" s="96"/>
      <c r="CO61" s="96"/>
      <c r="CP61" s="96"/>
      <c r="CQ61" s="96"/>
      <c r="CR61" s="96"/>
      <c r="CS61" s="96"/>
      <c r="CT61" s="96"/>
      <c r="CU61" s="96"/>
      <c r="CV61" s="96"/>
      <c r="CW61" s="96"/>
      <c r="CX61" s="96"/>
      <c r="CY61" s="96"/>
      <c r="CZ61" s="96"/>
      <c r="DA61" s="96"/>
      <c r="DB61" s="96"/>
      <c r="DC61" s="96"/>
      <c r="DD61" s="96"/>
      <c r="DE61" s="96"/>
      <c r="DF61" s="96"/>
      <c r="DG61" s="96"/>
      <c r="DH61" s="96"/>
      <c r="DI61" s="96"/>
      <c r="DJ61" s="96"/>
      <c r="DK61" s="96"/>
      <c r="DL61" s="96"/>
      <c r="DM61" s="96"/>
      <c r="DN61" s="96"/>
      <c r="DO61" s="96"/>
      <c r="DP61" s="96"/>
      <c r="DQ61" s="96"/>
      <c r="DR61" s="96"/>
      <c r="DS61" s="96"/>
      <c r="DT61" s="96"/>
      <c r="DU61" s="96"/>
      <c r="DV61" s="96"/>
      <c r="DW61" s="96"/>
      <c r="DX61" s="96"/>
      <c r="DY61" s="96"/>
      <c r="DZ61" s="96"/>
      <c r="EA61" s="96"/>
      <c r="EB61" s="96"/>
      <c r="EC61" s="96"/>
      <c r="ED61" s="96"/>
      <c r="EE61" s="96"/>
      <c r="EF61" s="96"/>
      <c r="EG61" s="96"/>
      <c r="EH61" s="96"/>
      <c r="EI61" s="96"/>
      <c r="EJ61" s="96"/>
      <c r="EK61" s="96"/>
      <c r="EL61" s="96"/>
      <c r="EM61" s="96"/>
      <c r="EN61" s="96"/>
      <c r="EO61" s="96"/>
      <c r="EP61" s="96"/>
      <c r="EQ61" s="96"/>
      <c r="ER61" s="96"/>
      <c r="ES61" s="96"/>
      <c r="ET61" s="96"/>
      <c r="EU61" s="96"/>
      <c r="EV61" s="96"/>
      <c r="EW61" s="96"/>
      <c r="EX61" s="96"/>
      <c r="EY61" s="96"/>
      <c r="EZ61" s="96"/>
      <c r="FA61" s="96"/>
      <c r="FB61" s="96"/>
      <c r="FC61" s="96"/>
      <c r="FD61" s="96"/>
      <c r="FE61" s="96"/>
      <c r="FF61" s="96"/>
      <c r="FG61" s="96"/>
      <c r="FH61" s="96"/>
      <c r="FI61" s="96"/>
      <c r="FJ61" s="96"/>
      <c r="FK61" s="96"/>
      <c r="FL61" s="96"/>
      <c r="FM61" s="96"/>
      <c r="FN61" s="96"/>
      <c r="FO61" s="96"/>
      <c r="FP61" s="96"/>
      <c r="FQ61" s="96"/>
      <c r="FR61" s="96"/>
      <c r="FS61" s="96"/>
      <c r="FT61" s="96"/>
      <c r="FU61" s="96"/>
      <c r="FV61" s="96"/>
      <c r="FW61" s="96"/>
      <c r="FX61" s="96"/>
      <c r="FY61" s="96"/>
      <c r="FZ61" s="96"/>
      <c r="GA61" s="96"/>
      <c r="GB61" s="96"/>
      <c r="GC61" s="96"/>
      <c r="GD61" s="96"/>
      <c r="GE61" s="96"/>
      <c r="GF61" s="96"/>
      <c r="GG61" s="96"/>
      <c r="GH61" s="96"/>
      <c r="GI61" s="96"/>
      <c r="GJ61" s="96"/>
      <c r="GK61" s="96"/>
      <c r="GL61" s="96"/>
      <c r="GM61" s="96"/>
      <c r="GN61" s="96"/>
      <c r="GO61" s="96"/>
      <c r="GP61" s="96"/>
      <c r="GQ61" s="96"/>
      <c r="GR61" s="96"/>
      <c r="GS61" s="96"/>
      <c r="GT61" s="96"/>
      <c r="GU61" s="96"/>
      <c r="GV61" s="96"/>
      <c r="GW61" s="96"/>
      <c r="GX61" s="96"/>
      <c r="GY61" s="96"/>
      <c r="GZ61" s="96"/>
      <c r="HA61" s="96"/>
      <c r="HB61" s="96"/>
      <c r="HC61" s="96"/>
      <c r="HD61" s="96"/>
      <c r="HE61" s="96"/>
      <c r="HF61" s="96"/>
      <c r="HG61" s="96"/>
      <c r="HH61" s="96"/>
      <c r="HI61" s="96"/>
      <c r="HJ61" s="96"/>
      <c r="HK61" s="96"/>
      <c r="HL61" s="96"/>
      <c r="HM61" s="96"/>
      <c r="HN61" s="96"/>
      <c r="HO61" s="96"/>
      <c r="HP61" s="96"/>
      <c r="HQ61" s="96"/>
      <c r="HR61" s="96"/>
      <c r="HS61" s="96"/>
      <c r="HT61" s="96"/>
      <c r="HU61" s="96"/>
      <c r="HV61" s="96"/>
      <c r="HW61" s="96"/>
      <c r="HX61" s="96"/>
      <c r="HY61" s="96"/>
      <c r="HZ61" s="96"/>
      <c r="IA61" s="96"/>
      <c r="IB61" s="96"/>
      <c r="IC61" s="96"/>
      <c r="ID61" s="96"/>
      <c r="IE61" s="96"/>
      <c r="IF61" s="96"/>
      <c r="IG61" s="96"/>
      <c r="IH61" s="96"/>
      <c r="II61" s="96"/>
      <c r="IJ61" s="96"/>
      <c r="IK61" s="96"/>
      <c r="IL61" s="96"/>
      <c r="IM61" s="96"/>
      <c r="IN61" s="96"/>
      <c r="IO61" s="96"/>
      <c r="IP61" s="96"/>
      <c r="IQ61" s="96"/>
      <c r="IR61" s="96"/>
      <c r="IS61" s="96"/>
      <c r="IT61" s="96"/>
      <c r="IU61" s="96"/>
      <c r="IV61" s="96"/>
      <c r="IW61" s="96"/>
      <c r="IX61" s="96"/>
      <c r="IY61" s="96"/>
      <c r="IZ61" s="96"/>
      <c r="JA61" s="96"/>
      <c r="JB61" s="96"/>
      <c r="JC61" s="96"/>
      <c r="JD61" s="96"/>
      <c r="JE61" s="96"/>
      <c r="JF61" s="96"/>
      <c r="JG61" s="96"/>
      <c r="JH61" s="96"/>
      <c r="JI61" s="96"/>
      <c r="JJ61" s="96"/>
      <c r="JK61" s="96"/>
      <c r="JL61" s="96"/>
      <c r="JM61" s="96"/>
      <c r="JN61" s="96"/>
      <c r="JO61" s="96"/>
      <c r="JP61" s="96"/>
      <c r="JQ61" s="96"/>
      <c r="JR61" s="96"/>
      <c r="JS61" s="96"/>
      <c r="JT61" s="96"/>
      <c r="JU61" s="96"/>
      <c r="JV61" s="96"/>
      <c r="JW61" s="96"/>
      <c r="JX61" s="96"/>
      <c r="JY61" s="96"/>
      <c r="JZ61" s="96"/>
      <c r="KA61" s="96"/>
      <c r="KB61" s="96"/>
      <c r="KC61" s="96"/>
      <c r="KD61" s="96"/>
      <c r="KE61" s="96"/>
      <c r="KF61" s="96"/>
      <c r="KG61" s="96"/>
      <c r="KH61" s="96"/>
      <c r="KI61" s="96"/>
      <c r="KJ61" s="96"/>
      <c r="KK61" s="96"/>
      <c r="KL61" s="96"/>
      <c r="KM61" s="96"/>
      <c r="KN61" s="96"/>
      <c r="KO61" s="96"/>
      <c r="KP61" s="96"/>
      <c r="KQ61" s="96"/>
      <c r="KR61" s="96"/>
      <c r="KS61" s="96"/>
      <c r="KT61" s="96"/>
      <c r="KU61" s="96"/>
      <c r="KV61" s="96"/>
      <c r="KW61" s="96"/>
      <c r="KX61" s="96"/>
      <c r="KY61" s="96"/>
      <c r="KZ61" s="96"/>
      <c r="LA61" s="96"/>
      <c r="LB61" s="96"/>
      <c r="LC61" s="96"/>
      <c r="LD61" s="96"/>
      <c r="LE61" s="96"/>
      <c r="LF61" s="96"/>
      <c r="LG61" s="96"/>
      <c r="LH61" s="96"/>
      <c r="LI61" s="96"/>
      <c r="LJ61" s="96"/>
      <c r="LK61" s="96"/>
      <c r="LL61" s="96"/>
      <c r="LM61" s="96"/>
      <c r="LN61" s="96"/>
      <c r="LO61" s="96"/>
      <c r="LP61" s="96"/>
      <c r="LQ61" s="96"/>
      <c r="LR61" s="96"/>
      <c r="LS61" s="96"/>
      <c r="LT61" s="96"/>
      <c r="LU61" s="96"/>
      <c r="LV61" s="96"/>
      <c r="LW61" s="96"/>
      <c r="LX61" s="96"/>
      <c r="LY61" s="96"/>
      <c r="LZ61" s="96"/>
      <c r="MA61" s="96"/>
      <c r="MB61" s="96"/>
      <c r="MC61" s="96"/>
      <c r="MD61" s="96"/>
      <c r="ME61" s="96"/>
      <c r="MF61" s="96"/>
      <c r="MG61" s="96"/>
      <c r="MH61" s="96"/>
      <c r="MI61" s="96"/>
      <c r="MJ61" s="96"/>
      <c r="MK61" s="96"/>
      <c r="ML61" s="96"/>
      <c r="MM61" s="96"/>
      <c r="MN61" s="96"/>
      <c r="MO61" s="96"/>
      <c r="MP61" s="96"/>
      <c r="MQ61" s="96"/>
      <c r="MR61" s="96"/>
      <c r="MS61" s="96"/>
      <c r="MT61" s="96"/>
      <c r="MU61" s="96"/>
      <c r="MV61" s="96"/>
      <c r="MW61" s="96"/>
      <c r="MX61" s="96"/>
      <c r="MY61" s="96"/>
      <c r="MZ61" s="96"/>
      <c r="NA61" s="96"/>
      <c r="NB61" s="96"/>
      <c r="NC61" s="96"/>
      <c r="ND61" s="96"/>
      <c r="NE61" s="96"/>
      <c r="NF61" s="96"/>
      <c r="NG61" s="96"/>
      <c r="NH61" s="96"/>
      <c r="NI61" s="96"/>
      <c r="NJ61" s="96"/>
      <c r="NK61" s="96"/>
      <c r="NL61" s="96"/>
      <c r="NM61" s="96"/>
      <c r="NN61" s="96"/>
      <c r="NO61" s="96"/>
      <c r="NP61" s="96"/>
      <c r="NQ61" s="96"/>
      <c r="NR61" s="96"/>
      <c r="NS61" s="96"/>
      <c r="NT61" s="96"/>
      <c r="NU61" s="96"/>
      <c r="NV61" s="96"/>
      <c r="NW61" s="96"/>
      <c r="NX61" s="96"/>
      <c r="NY61" s="96"/>
      <c r="NZ61" s="96"/>
      <c r="OA61" s="96"/>
      <c r="OB61" s="96"/>
      <c r="OC61" s="96"/>
      <c r="OD61" s="96"/>
      <c r="OE61" s="96"/>
      <c r="OF61" s="96"/>
      <c r="OG61" s="96"/>
      <c r="OH61" s="96"/>
      <c r="OI61" s="96"/>
      <c r="OJ61" s="96"/>
      <c r="OK61" s="96"/>
      <c r="OL61" s="96"/>
      <c r="OM61" s="96"/>
      <c r="ON61" s="96"/>
      <c r="OO61" s="96"/>
      <c r="OP61" s="96"/>
      <c r="OQ61" s="96"/>
      <c r="OR61" s="96"/>
      <c r="OS61" s="96"/>
      <c r="OT61" s="96"/>
      <c r="OU61" s="96"/>
      <c r="OV61" s="96"/>
      <c r="OW61" s="96"/>
      <c r="OX61" s="96"/>
      <c r="OY61" s="96"/>
      <c r="OZ61" s="96"/>
      <c r="PA61" s="96"/>
      <c r="PB61" s="96"/>
      <c r="PC61" s="96"/>
      <c r="PD61" s="96"/>
      <c r="PE61" s="96"/>
      <c r="PF61" s="96"/>
      <c r="PG61" s="96"/>
      <c r="PH61" s="96"/>
      <c r="PI61" s="96"/>
      <c r="PJ61" s="96"/>
      <c r="PK61" s="96"/>
      <c r="PL61" s="96"/>
      <c r="PM61" s="96"/>
      <c r="PN61" s="96"/>
      <c r="PO61" s="96"/>
      <c r="PP61" s="96"/>
      <c r="PQ61" s="96"/>
      <c r="PR61" s="96"/>
      <c r="PS61" s="96"/>
      <c r="PT61" s="96"/>
      <c r="PU61" s="96"/>
      <c r="PV61" s="96"/>
      <c r="PW61" s="96"/>
      <c r="PX61" s="96"/>
      <c r="PY61" s="96"/>
      <c r="PZ61" s="96"/>
      <c r="QA61" s="96"/>
      <c r="QB61" s="96"/>
      <c r="QC61" s="96"/>
      <c r="QD61" s="96"/>
      <c r="QE61" s="96"/>
      <c r="QF61" s="96"/>
      <c r="QG61" s="96"/>
      <c r="QH61" s="96"/>
      <c r="QI61" s="96"/>
      <c r="QJ61" s="96"/>
      <c r="QK61" s="96"/>
      <c r="QL61" s="96"/>
      <c r="QM61" s="96"/>
      <c r="QN61" s="96"/>
      <c r="QO61" s="96"/>
      <c r="QP61" s="96"/>
      <c r="QQ61" s="96"/>
      <c r="QR61" s="96"/>
      <c r="QS61" s="96"/>
      <c r="QT61" s="96"/>
      <c r="QU61" s="96"/>
      <c r="QV61" s="96"/>
      <c r="QW61" s="96"/>
      <c r="QX61" s="96"/>
      <c r="QY61" s="96"/>
      <c r="QZ61" s="96"/>
      <c r="RA61" s="96"/>
      <c r="RB61" s="96"/>
      <c r="RC61" s="96"/>
      <c r="RD61" s="96"/>
      <c r="RE61" s="96"/>
      <c r="RF61" s="96"/>
      <c r="RG61" s="96"/>
      <c r="RH61" s="96"/>
      <c r="RI61" s="96"/>
      <c r="RJ61" s="96"/>
      <c r="RK61" s="96"/>
      <c r="RL61" s="96"/>
      <c r="RM61" s="96"/>
      <c r="RN61" s="96"/>
      <c r="RO61" s="96"/>
      <c r="RP61" s="96"/>
      <c r="RQ61" s="96"/>
      <c r="RR61" s="96"/>
      <c r="RS61" s="96"/>
      <c r="RT61" s="96"/>
      <c r="RU61" s="96"/>
      <c r="RV61" s="96"/>
      <c r="RW61" s="96"/>
      <c r="RX61" s="96"/>
      <c r="RY61" s="96"/>
      <c r="RZ61" s="96"/>
      <c r="SA61" s="96"/>
      <c r="SB61" s="96"/>
      <c r="SC61" s="96"/>
      <c r="SD61" s="78"/>
      <c r="SE61" s="96"/>
      <c r="SF61" s="96"/>
      <c r="SG61" s="96"/>
      <c r="SH61" s="96"/>
      <c r="SI61" s="96"/>
      <c r="SJ61" s="97"/>
      <c r="SK61" s="6"/>
    </row>
    <row r="62" ht="14.25" customHeight="1">
      <c r="A62" s="113"/>
      <c r="B62" s="114" t="s">
        <v>622</v>
      </c>
      <c r="C62" s="115">
        <f t="shared" ref="C62:D62" si="5">SUM(C6:C12)+SUM(C14:C17)+SUM(C20:C27)+SUM(C29:C61)</f>
        <v>0</v>
      </c>
      <c r="D62" s="116">
        <f t="shared" si="5"/>
        <v>83181.49</v>
      </c>
      <c r="E62" s="117">
        <f t="shared" ref="E62:SJ62" si="6">SUM(E6:E61)</f>
        <v>83181.49</v>
      </c>
      <c r="F62" s="117">
        <f t="shared" si="6"/>
        <v>0</v>
      </c>
      <c r="G62" s="117">
        <f t="shared" si="6"/>
        <v>0</v>
      </c>
      <c r="H62" s="117">
        <f t="shared" si="6"/>
        <v>0</v>
      </c>
      <c r="I62" s="117">
        <f t="shared" si="6"/>
        <v>0</v>
      </c>
      <c r="J62" s="117">
        <f t="shared" si="6"/>
        <v>0</v>
      </c>
      <c r="K62" s="117">
        <f t="shared" si="6"/>
        <v>0</v>
      </c>
      <c r="L62" s="117">
        <f t="shared" si="6"/>
        <v>0</v>
      </c>
      <c r="M62" s="117">
        <f t="shared" si="6"/>
        <v>0</v>
      </c>
      <c r="N62" s="117">
        <f t="shared" si="6"/>
        <v>0</v>
      </c>
      <c r="O62" s="117">
        <f t="shared" si="6"/>
        <v>0</v>
      </c>
      <c r="P62" s="117">
        <f t="shared" si="6"/>
        <v>0</v>
      </c>
      <c r="Q62" s="117">
        <f t="shared" si="6"/>
        <v>0</v>
      </c>
      <c r="R62" s="117">
        <f t="shared" si="6"/>
        <v>0</v>
      </c>
      <c r="S62" s="117">
        <f t="shared" si="6"/>
        <v>0</v>
      </c>
      <c r="T62" s="117">
        <f t="shared" si="6"/>
        <v>0</v>
      </c>
      <c r="U62" s="117">
        <f t="shared" si="6"/>
        <v>0</v>
      </c>
      <c r="V62" s="117">
        <f t="shared" si="6"/>
        <v>0</v>
      </c>
      <c r="W62" s="117">
        <f t="shared" si="6"/>
        <v>0</v>
      </c>
      <c r="X62" s="117">
        <f t="shared" si="6"/>
        <v>0</v>
      </c>
      <c r="Y62" s="117">
        <f t="shared" si="6"/>
        <v>0</v>
      </c>
      <c r="Z62" s="117">
        <f t="shared" si="6"/>
        <v>0</v>
      </c>
      <c r="AA62" s="117">
        <f t="shared" si="6"/>
        <v>0</v>
      </c>
      <c r="AB62" s="117">
        <f t="shared" si="6"/>
        <v>0</v>
      </c>
      <c r="AC62" s="117">
        <f t="shared" si="6"/>
        <v>0</v>
      </c>
      <c r="AD62" s="117">
        <f t="shared" si="6"/>
        <v>0</v>
      </c>
      <c r="AE62" s="117">
        <f t="shared" si="6"/>
        <v>0</v>
      </c>
      <c r="AF62" s="117">
        <f t="shared" si="6"/>
        <v>0</v>
      </c>
      <c r="AG62" s="117">
        <f t="shared" si="6"/>
        <v>0</v>
      </c>
      <c r="AH62" s="117">
        <f t="shared" si="6"/>
        <v>0</v>
      </c>
      <c r="AI62" s="117">
        <f t="shared" si="6"/>
        <v>0</v>
      </c>
      <c r="AJ62" s="117">
        <f t="shared" si="6"/>
        <v>0</v>
      </c>
      <c r="AK62" s="117">
        <f t="shared" si="6"/>
        <v>0</v>
      </c>
      <c r="AL62" s="117">
        <f t="shared" si="6"/>
        <v>0</v>
      </c>
      <c r="AM62" s="117">
        <f t="shared" si="6"/>
        <v>0</v>
      </c>
      <c r="AN62" s="117">
        <f t="shared" si="6"/>
        <v>0</v>
      </c>
      <c r="AO62" s="117">
        <f t="shared" si="6"/>
        <v>0</v>
      </c>
      <c r="AP62" s="117">
        <f t="shared" si="6"/>
        <v>0</v>
      </c>
      <c r="AQ62" s="117">
        <f t="shared" si="6"/>
        <v>0</v>
      </c>
      <c r="AR62" s="117">
        <f t="shared" si="6"/>
        <v>0</v>
      </c>
      <c r="AS62" s="117">
        <f t="shared" si="6"/>
        <v>0</v>
      </c>
      <c r="AT62" s="117">
        <f t="shared" si="6"/>
        <v>0</v>
      </c>
      <c r="AU62" s="117">
        <f t="shared" si="6"/>
        <v>0</v>
      </c>
      <c r="AV62" s="117">
        <f t="shared" si="6"/>
        <v>0</v>
      </c>
      <c r="AW62" s="117">
        <f t="shared" si="6"/>
        <v>0</v>
      </c>
      <c r="AX62" s="117">
        <f t="shared" si="6"/>
        <v>0</v>
      </c>
      <c r="AY62" s="117">
        <f t="shared" si="6"/>
        <v>0</v>
      </c>
      <c r="AZ62" s="117">
        <f t="shared" si="6"/>
        <v>0</v>
      </c>
      <c r="BA62" s="117">
        <f t="shared" si="6"/>
        <v>0</v>
      </c>
      <c r="BB62" s="117">
        <f t="shared" si="6"/>
        <v>0</v>
      </c>
      <c r="BC62" s="117">
        <f t="shared" si="6"/>
        <v>0</v>
      </c>
      <c r="BD62" s="117">
        <f t="shared" si="6"/>
        <v>0</v>
      </c>
      <c r="BE62" s="117">
        <f t="shared" si="6"/>
        <v>0</v>
      </c>
      <c r="BF62" s="117">
        <f t="shared" si="6"/>
        <v>0</v>
      </c>
      <c r="BG62" s="117">
        <f t="shared" si="6"/>
        <v>0</v>
      </c>
      <c r="BH62" s="117">
        <f t="shared" si="6"/>
        <v>0</v>
      </c>
      <c r="BI62" s="117">
        <f t="shared" si="6"/>
        <v>0</v>
      </c>
      <c r="BJ62" s="117">
        <f t="shared" si="6"/>
        <v>0</v>
      </c>
      <c r="BK62" s="117">
        <f t="shared" si="6"/>
        <v>0</v>
      </c>
      <c r="BL62" s="117">
        <f t="shared" si="6"/>
        <v>0</v>
      </c>
      <c r="BM62" s="117">
        <f t="shared" si="6"/>
        <v>0</v>
      </c>
      <c r="BN62" s="117">
        <f t="shared" si="6"/>
        <v>0</v>
      </c>
      <c r="BO62" s="117">
        <f t="shared" si="6"/>
        <v>0</v>
      </c>
      <c r="BP62" s="117">
        <f t="shared" si="6"/>
        <v>0</v>
      </c>
      <c r="BQ62" s="117">
        <f t="shared" si="6"/>
        <v>0</v>
      </c>
      <c r="BR62" s="117">
        <f t="shared" si="6"/>
        <v>0</v>
      </c>
      <c r="BS62" s="117">
        <f t="shared" si="6"/>
        <v>0</v>
      </c>
      <c r="BT62" s="117">
        <f t="shared" si="6"/>
        <v>0</v>
      </c>
      <c r="BU62" s="117">
        <f t="shared" si="6"/>
        <v>0</v>
      </c>
      <c r="BV62" s="117">
        <f t="shared" si="6"/>
        <v>0</v>
      </c>
      <c r="BW62" s="117">
        <f t="shared" si="6"/>
        <v>0</v>
      </c>
      <c r="BX62" s="117">
        <f t="shared" si="6"/>
        <v>0</v>
      </c>
      <c r="BY62" s="117">
        <f t="shared" si="6"/>
        <v>0</v>
      </c>
      <c r="BZ62" s="117">
        <f t="shared" si="6"/>
        <v>0</v>
      </c>
      <c r="CA62" s="117">
        <f t="shared" si="6"/>
        <v>0</v>
      </c>
      <c r="CB62" s="117">
        <f t="shared" si="6"/>
        <v>0</v>
      </c>
      <c r="CC62" s="117">
        <f t="shared" si="6"/>
        <v>0</v>
      </c>
      <c r="CD62" s="117">
        <f t="shared" si="6"/>
        <v>0</v>
      </c>
      <c r="CE62" s="117">
        <f t="shared" si="6"/>
        <v>0</v>
      </c>
      <c r="CF62" s="117">
        <f t="shared" si="6"/>
        <v>0</v>
      </c>
      <c r="CG62" s="117">
        <f t="shared" si="6"/>
        <v>0</v>
      </c>
      <c r="CH62" s="117">
        <f t="shared" si="6"/>
        <v>0</v>
      </c>
      <c r="CI62" s="117">
        <f t="shared" si="6"/>
        <v>0</v>
      </c>
      <c r="CJ62" s="117">
        <f t="shared" si="6"/>
        <v>0</v>
      </c>
      <c r="CK62" s="117">
        <f t="shared" si="6"/>
        <v>0</v>
      </c>
      <c r="CL62" s="117">
        <f t="shared" si="6"/>
        <v>0</v>
      </c>
      <c r="CM62" s="117">
        <f t="shared" si="6"/>
        <v>0</v>
      </c>
      <c r="CN62" s="117">
        <f t="shared" si="6"/>
        <v>0</v>
      </c>
      <c r="CO62" s="117">
        <f t="shared" si="6"/>
        <v>0</v>
      </c>
      <c r="CP62" s="117">
        <f t="shared" si="6"/>
        <v>0</v>
      </c>
      <c r="CQ62" s="117">
        <f t="shared" si="6"/>
        <v>0</v>
      </c>
      <c r="CR62" s="117">
        <f t="shared" si="6"/>
        <v>0</v>
      </c>
      <c r="CS62" s="117">
        <f t="shared" si="6"/>
        <v>0</v>
      </c>
      <c r="CT62" s="117">
        <f t="shared" si="6"/>
        <v>0</v>
      </c>
      <c r="CU62" s="117">
        <f t="shared" si="6"/>
        <v>0</v>
      </c>
      <c r="CV62" s="117">
        <f t="shared" si="6"/>
        <v>0</v>
      </c>
      <c r="CW62" s="117">
        <f t="shared" si="6"/>
        <v>0</v>
      </c>
      <c r="CX62" s="117">
        <f t="shared" si="6"/>
        <v>0</v>
      </c>
      <c r="CY62" s="117">
        <f t="shared" si="6"/>
        <v>0</v>
      </c>
      <c r="CZ62" s="117">
        <f t="shared" si="6"/>
        <v>0</v>
      </c>
      <c r="DA62" s="117">
        <f t="shared" si="6"/>
        <v>0</v>
      </c>
      <c r="DB62" s="117">
        <f t="shared" si="6"/>
        <v>0</v>
      </c>
      <c r="DC62" s="117">
        <f t="shared" si="6"/>
        <v>0</v>
      </c>
      <c r="DD62" s="117">
        <f t="shared" si="6"/>
        <v>0</v>
      </c>
      <c r="DE62" s="117">
        <f t="shared" si="6"/>
        <v>0</v>
      </c>
      <c r="DF62" s="117">
        <f t="shared" si="6"/>
        <v>0</v>
      </c>
      <c r="DG62" s="117">
        <f t="shared" si="6"/>
        <v>0</v>
      </c>
      <c r="DH62" s="117">
        <f t="shared" si="6"/>
        <v>0</v>
      </c>
      <c r="DI62" s="117">
        <f t="shared" si="6"/>
        <v>0</v>
      </c>
      <c r="DJ62" s="117">
        <f t="shared" si="6"/>
        <v>0</v>
      </c>
      <c r="DK62" s="117">
        <f t="shared" si="6"/>
        <v>0</v>
      </c>
      <c r="DL62" s="117">
        <f t="shared" si="6"/>
        <v>0</v>
      </c>
      <c r="DM62" s="117">
        <f t="shared" si="6"/>
        <v>0</v>
      </c>
      <c r="DN62" s="117">
        <f t="shared" si="6"/>
        <v>0</v>
      </c>
      <c r="DO62" s="117">
        <f t="shared" si="6"/>
        <v>0</v>
      </c>
      <c r="DP62" s="117">
        <f t="shared" si="6"/>
        <v>0</v>
      </c>
      <c r="DQ62" s="117">
        <f t="shared" si="6"/>
        <v>0</v>
      </c>
      <c r="DR62" s="117">
        <f t="shared" si="6"/>
        <v>0</v>
      </c>
      <c r="DS62" s="117">
        <f t="shared" si="6"/>
        <v>0</v>
      </c>
      <c r="DT62" s="117">
        <f t="shared" si="6"/>
        <v>0</v>
      </c>
      <c r="DU62" s="117">
        <f t="shared" si="6"/>
        <v>0</v>
      </c>
      <c r="DV62" s="117">
        <f t="shared" si="6"/>
        <v>0</v>
      </c>
      <c r="DW62" s="117">
        <f t="shared" si="6"/>
        <v>0</v>
      </c>
      <c r="DX62" s="117">
        <f t="shared" si="6"/>
        <v>0</v>
      </c>
      <c r="DY62" s="117">
        <f t="shared" si="6"/>
        <v>0</v>
      </c>
      <c r="DZ62" s="117">
        <f t="shared" si="6"/>
        <v>0</v>
      </c>
      <c r="EA62" s="117">
        <f t="shared" si="6"/>
        <v>0</v>
      </c>
      <c r="EB62" s="117">
        <f t="shared" si="6"/>
        <v>0</v>
      </c>
      <c r="EC62" s="117">
        <f t="shared" si="6"/>
        <v>0</v>
      </c>
      <c r="ED62" s="117">
        <f t="shared" si="6"/>
        <v>0</v>
      </c>
      <c r="EE62" s="117">
        <f t="shared" si="6"/>
        <v>0</v>
      </c>
      <c r="EF62" s="117">
        <f t="shared" si="6"/>
        <v>0</v>
      </c>
      <c r="EG62" s="117">
        <f t="shared" si="6"/>
        <v>0</v>
      </c>
      <c r="EH62" s="117">
        <f t="shared" si="6"/>
        <v>0</v>
      </c>
      <c r="EI62" s="117">
        <f t="shared" si="6"/>
        <v>0</v>
      </c>
      <c r="EJ62" s="117">
        <f t="shared" si="6"/>
        <v>0</v>
      </c>
      <c r="EK62" s="117">
        <f t="shared" si="6"/>
        <v>0</v>
      </c>
      <c r="EL62" s="117">
        <f t="shared" si="6"/>
        <v>0</v>
      </c>
      <c r="EM62" s="117">
        <f t="shared" si="6"/>
        <v>0</v>
      </c>
      <c r="EN62" s="117">
        <f t="shared" si="6"/>
        <v>0</v>
      </c>
      <c r="EO62" s="117">
        <f t="shared" si="6"/>
        <v>0</v>
      </c>
      <c r="EP62" s="117">
        <f t="shared" si="6"/>
        <v>0</v>
      </c>
      <c r="EQ62" s="117">
        <f t="shared" si="6"/>
        <v>0</v>
      </c>
      <c r="ER62" s="117">
        <f t="shared" si="6"/>
        <v>0</v>
      </c>
      <c r="ES62" s="117">
        <f t="shared" si="6"/>
        <v>0</v>
      </c>
      <c r="ET62" s="117">
        <f t="shared" si="6"/>
        <v>0</v>
      </c>
      <c r="EU62" s="117">
        <f t="shared" si="6"/>
        <v>0</v>
      </c>
      <c r="EV62" s="117">
        <f t="shared" si="6"/>
        <v>0</v>
      </c>
      <c r="EW62" s="117">
        <f t="shared" si="6"/>
        <v>0</v>
      </c>
      <c r="EX62" s="117">
        <f t="shared" si="6"/>
        <v>0</v>
      </c>
      <c r="EY62" s="117">
        <f t="shared" si="6"/>
        <v>0</v>
      </c>
      <c r="EZ62" s="117">
        <f t="shared" si="6"/>
        <v>0</v>
      </c>
      <c r="FA62" s="117">
        <f t="shared" si="6"/>
        <v>0</v>
      </c>
      <c r="FB62" s="117">
        <f t="shared" si="6"/>
        <v>0</v>
      </c>
      <c r="FC62" s="117">
        <f t="shared" si="6"/>
        <v>0</v>
      </c>
      <c r="FD62" s="117">
        <f t="shared" si="6"/>
        <v>0</v>
      </c>
      <c r="FE62" s="117">
        <f t="shared" si="6"/>
        <v>0</v>
      </c>
      <c r="FF62" s="117">
        <f t="shared" si="6"/>
        <v>0</v>
      </c>
      <c r="FG62" s="117">
        <f t="shared" si="6"/>
        <v>0</v>
      </c>
      <c r="FH62" s="117">
        <f t="shared" si="6"/>
        <v>0</v>
      </c>
      <c r="FI62" s="117">
        <f t="shared" si="6"/>
        <v>0</v>
      </c>
      <c r="FJ62" s="117">
        <f t="shared" si="6"/>
        <v>0</v>
      </c>
      <c r="FK62" s="117">
        <f t="shared" si="6"/>
        <v>0</v>
      </c>
      <c r="FL62" s="117">
        <f t="shared" si="6"/>
        <v>0</v>
      </c>
      <c r="FM62" s="117">
        <f t="shared" si="6"/>
        <v>0</v>
      </c>
      <c r="FN62" s="117">
        <f t="shared" si="6"/>
        <v>0</v>
      </c>
      <c r="FO62" s="117">
        <f t="shared" si="6"/>
        <v>0</v>
      </c>
      <c r="FP62" s="117">
        <f t="shared" si="6"/>
        <v>0</v>
      </c>
      <c r="FQ62" s="117">
        <f t="shared" si="6"/>
        <v>0</v>
      </c>
      <c r="FR62" s="117">
        <f t="shared" si="6"/>
        <v>0</v>
      </c>
      <c r="FS62" s="117">
        <f t="shared" si="6"/>
        <v>0</v>
      </c>
      <c r="FT62" s="117">
        <f t="shared" si="6"/>
        <v>0</v>
      </c>
      <c r="FU62" s="117">
        <f t="shared" si="6"/>
        <v>0</v>
      </c>
      <c r="FV62" s="117">
        <f t="shared" si="6"/>
        <v>0</v>
      </c>
      <c r="FW62" s="117">
        <f t="shared" si="6"/>
        <v>0</v>
      </c>
      <c r="FX62" s="117">
        <f t="shared" si="6"/>
        <v>0</v>
      </c>
      <c r="FY62" s="117">
        <f t="shared" si="6"/>
        <v>0</v>
      </c>
      <c r="FZ62" s="117">
        <f t="shared" si="6"/>
        <v>0</v>
      </c>
      <c r="GA62" s="117">
        <f t="shared" si="6"/>
        <v>0</v>
      </c>
      <c r="GB62" s="117">
        <f t="shared" si="6"/>
        <v>0</v>
      </c>
      <c r="GC62" s="117">
        <f t="shared" si="6"/>
        <v>0</v>
      </c>
      <c r="GD62" s="117">
        <f t="shared" si="6"/>
        <v>0</v>
      </c>
      <c r="GE62" s="117">
        <f t="shared" si="6"/>
        <v>0</v>
      </c>
      <c r="GF62" s="117">
        <f t="shared" si="6"/>
        <v>0</v>
      </c>
      <c r="GG62" s="117">
        <f t="shared" si="6"/>
        <v>0</v>
      </c>
      <c r="GH62" s="117">
        <f t="shared" si="6"/>
        <v>0</v>
      </c>
      <c r="GI62" s="117">
        <f t="shared" si="6"/>
        <v>0</v>
      </c>
      <c r="GJ62" s="117">
        <f t="shared" si="6"/>
        <v>0</v>
      </c>
      <c r="GK62" s="117">
        <f t="shared" si="6"/>
        <v>0</v>
      </c>
      <c r="GL62" s="117">
        <f t="shared" si="6"/>
        <v>0</v>
      </c>
      <c r="GM62" s="117">
        <f t="shared" si="6"/>
        <v>0</v>
      </c>
      <c r="GN62" s="117">
        <f t="shared" si="6"/>
        <v>0</v>
      </c>
      <c r="GO62" s="117">
        <f t="shared" si="6"/>
        <v>0</v>
      </c>
      <c r="GP62" s="117">
        <f t="shared" si="6"/>
        <v>0</v>
      </c>
      <c r="GQ62" s="117">
        <f t="shared" si="6"/>
        <v>0</v>
      </c>
      <c r="GR62" s="117">
        <f t="shared" si="6"/>
        <v>0</v>
      </c>
      <c r="GS62" s="117">
        <f t="shared" si="6"/>
        <v>0</v>
      </c>
      <c r="GT62" s="117">
        <f t="shared" si="6"/>
        <v>0</v>
      </c>
      <c r="GU62" s="117">
        <f t="shared" si="6"/>
        <v>0</v>
      </c>
      <c r="GV62" s="117">
        <f t="shared" si="6"/>
        <v>0</v>
      </c>
      <c r="GW62" s="117">
        <f t="shared" si="6"/>
        <v>0</v>
      </c>
      <c r="GX62" s="117">
        <f t="shared" si="6"/>
        <v>0</v>
      </c>
      <c r="GY62" s="117">
        <f t="shared" si="6"/>
        <v>0</v>
      </c>
      <c r="GZ62" s="117">
        <f t="shared" si="6"/>
        <v>0</v>
      </c>
      <c r="HA62" s="117">
        <f t="shared" si="6"/>
        <v>0</v>
      </c>
      <c r="HB62" s="117">
        <f t="shared" si="6"/>
        <v>0</v>
      </c>
      <c r="HC62" s="117">
        <f t="shared" si="6"/>
        <v>0</v>
      </c>
      <c r="HD62" s="117">
        <f t="shared" si="6"/>
        <v>0</v>
      </c>
      <c r="HE62" s="117">
        <f t="shared" si="6"/>
        <v>0</v>
      </c>
      <c r="HF62" s="117">
        <f t="shared" si="6"/>
        <v>0</v>
      </c>
      <c r="HG62" s="117">
        <f t="shared" si="6"/>
        <v>0</v>
      </c>
      <c r="HH62" s="117">
        <f t="shared" si="6"/>
        <v>0</v>
      </c>
      <c r="HI62" s="117">
        <f t="shared" si="6"/>
        <v>0</v>
      </c>
      <c r="HJ62" s="117">
        <f t="shared" si="6"/>
        <v>0</v>
      </c>
      <c r="HK62" s="117">
        <f t="shared" si="6"/>
        <v>0</v>
      </c>
      <c r="HL62" s="117">
        <f t="shared" si="6"/>
        <v>0</v>
      </c>
      <c r="HM62" s="117">
        <f t="shared" si="6"/>
        <v>0</v>
      </c>
      <c r="HN62" s="117">
        <f t="shared" si="6"/>
        <v>0</v>
      </c>
      <c r="HO62" s="117">
        <f t="shared" si="6"/>
        <v>0</v>
      </c>
      <c r="HP62" s="117">
        <f t="shared" si="6"/>
        <v>0</v>
      </c>
      <c r="HQ62" s="117">
        <f t="shared" si="6"/>
        <v>0</v>
      </c>
      <c r="HR62" s="117">
        <f t="shared" si="6"/>
        <v>0</v>
      </c>
      <c r="HS62" s="117">
        <f t="shared" si="6"/>
        <v>0</v>
      </c>
      <c r="HT62" s="117">
        <f t="shared" si="6"/>
        <v>0</v>
      </c>
      <c r="HU62" s="117">
        <f t="shared" si="6"/>
        <v>0</v>
      </c>
      <c r="HV62" s="117">
        <f t="shared" si="6"/>
        <v>0</v>
      </c>
      <c r="HW62" s="117">
        <f t="shared" si="6"/>
        <v>0</v>
      </c>
      <c r="HX62" s="117">
        <f t="shared" si="6"/>
        <v>0</v>
      </c>
      <c r="HY62" s="117">
        <f t="shared" si="6"/>
        <v>0</v>
      </c>
      <c r="HZ62" s="117">
        <f t="shared" si="6"/>
        <v>0</v>
      </c>
      <c r="IA62" s="117">
        <f t="shared" si="6"/>
        <v>0</v>
      </c>
      <c r="IB62" s="117">
        <f t="shared" si="6"/>
        <v>0</v>
      </c>
      <c r="IC62" s="117">
        <f t="shared" si="6"/>
        <v>0</v>
      </c>
      <c r="ID62" s="117">
        <f t="shared" si="6"/>
        <v>0</v>
      </c>
      <c r="IE62" s="117">
        <f t="shared" si="6"/>
        <v>0</v>
      </c>
      <c r="IF62" s="117">
        <f t="shared" si="6"/>
        <v>0</v>
      </c>
      <c r="IG62" s="117">
        <f t="shared" si="6"/>
        <v>0</v>
      </c>
      <c r="IH62" s="117">
        <f t="shared" si="6"/>
        <v>0</v>
      </c>
      <c r="II62" s="117">
        <f t="shared" si="6"/>
        <v>0</v>
      </c>
      <c r="IJ62" s="117">
        <f t="shared" si="6"/>
        <v>0</v>
      </c>
      <c r="IK62" s="117">
        <f t="shared" si="6"/>
        <v>0</v>
      </c>
      <c r="IL62" s="117">
        <f t="shared" si="6"/>
        <v>0</v>
      </c>
      <c r="IM62" s="117">
        <f t="shared" si="6"/>
        <v>0</v>
      </c>
      <c r="IN62" s="117">
        <f t="shared" si="6"/>
        <v>0</v>
      </c>
      <c r="IO62" s="117">
        <f t="shared" si="6"/>
        <v>0</v>
      </c>
      <c r="IP62" s="117">
        <f t="shared" si="6"/>
        <v>0</v>
      </c>
      <c r="IQ62" s="117">
        <f t="shared" si="6"/>
        <v>0</v>
      </c>
      <c r="IR62" s="117">
        <f t="shared" si="6"/>
        <v>0</v>
      </c>
      <c r="IS62" s="117">
        <f t="shared" si="6"/>
        <v>0</v>
      </c>
      <c r="IT62" s="117">
        <f t="shared" si="6"/>
        <v>0</v>
      </c>
      <c r="IU62" s="117">
        <f t="shared" si="6"/>
        <v>0</v>
      </c>
      <c r="IV62" s="117">
        <f t="shared" si="6"/>
        <v>0</v>
      </c>
      <c r="IW62" s="117">
        <f t="shared" si="6"/>
        <v>0</v>
      </c>
      <c r="IX62" s="117">
        <f t="shared" si="6"/>
        <v>0</v>
      </c>
      <c r="IY62" s="117">
        <f t="shared" si="6"/>
        <v>0</v>
      </c>
      <c r="IZ62" s="117">
        <f t="shared" si="6"/>
        <v>0</v>
      </c>
      <c r="JA62" s="117">
        <f t="shared" si="6"/>
        <v>0</v>
      </c>
      <c r="JB62" s="117">
        <f t="shared" si="6"/>
        <v>0</v>
      </c>
      <c r="JC62" s="117">
        <f t="shared" si="6"/>
        <v>0</v>
      </c>
      <c r="JD62" s="117">
        <f t="shared" si="6"/>
        <v>0</v>
      </c>
      <c r="JE62" s="117">
        <f t="shared" si="6"/>
        <v>0</v>
      </c>
      <c r="JF62" s="117">
        <f t="shared" si="6"/>
        <v>0</v>
      </c>
      <c r="JG62" s="117">
        <f t="shared" si="6"/>
        <v>0</v>
      </c>
      <c r="JH62" s="117">
        <f t="shared" si="6"/>
        <v>0</v>
      </c>
      <c r="JI62" s="117">
        <f t="shared" si="6"/>
        <v>0</v>
      </c>
      <c r="JJ62" s="117">
        <f t="shared" si="6"/>
        <v>0</v>
      </c>
      <c r="JK62" s="117">
        <f t="shared" si="6"/>
        <v>0</v>
      </c>
      <c r="JL62" s="117">
        <f t="shared" si="6"/>
        <v>0</v>
      </c>
      <c r="JM62" s="117">
        <f t="shared" si="6"/>
        <v>0</v>
      </c>
      <c r="JN62" s="117">
        <f t="shared" si="6"/>
        <v>0</v>
      </c>
      <c r="JO62" s="117">
        <f t="shared" si="6"/>
        <v>0</v>
      </c>
      <c r="JP62" s="117">
        <f t="shared" si="6"/>
        <v>0</v>
      </c>
      <c r="JQ62" s="117">
        <f t="shared" si="6"/>
        <v>0</v>
      </c>
      <c r="JR62" s="117">
        <f t="shared" si="6"/>
        <v>0</v>
      </c>
      <c r="JS62" s="117">
        <f t="shared" si="6"/>
        <v>0</v>
      </c>
      <c r="JT62" s="117">
        <f t="shared" si="6"/>
        <v>0</v>
      </c>
      <c r="JU62" s="117">
        <f t="shared" si="6"/>
        <v>0</v>
      </c>
      <c r="JV62" s="117">
        <f t="shared" si="6"/>
        <v>0</v>
      </c>
      <c r="JW62" s="117">
        <f t="shared" si="6"/>
        <v>0</v>
      </c>
      <c r="JX62" s="117">
        <f t="shared" si="6"/>
        <v>0</v>
      </c>
      <c r="JY62" s="117">
        <f t="shared" si="6"/>
        <v>0</v>
      </c>
      <c r="JZ62" s="117">
        <f t="shared" si="6"/>
        <v>0</v>
      </c>
      <c r="KA62" s="117">
        <f t="shared" si="6"/>
        <v>0</v>
      </c>
      <c r="KB62" s="117">
        <f t="shared" si="6"/>
        <v>0</v>
      </c>
      <c r="KC62" s="117">
        <f t="shared" si="6"/>
        <v>0</v>
      </c>
      <c r="KD62" s="117">
        <f t="shared" si="6"/>
        <v>0</v>
      </c>
      <c r="KE62" s="117">
        <f t="shared" si="6"/>
        <v>0</v>
      </c>
      <c r="KF62" s="117">
        <f t="shared" si="6"/>
        <v>0</v>
      </c>
      <c r="KG62" s="117">
        <f t="shared" si="6"/>
        <v>0</v>
      </c>
      <c r="KH62" s="117">
        <f t="shared" si="6"/>
        <v>0</v>
      </c>
      <c r="KI62" s="117">
        <f t="shared" si="6"/>
        <v>0</v>
      </c>
      <c r="KJ62" s="117">
        <f t="shared" si="6"/>
        <v>0</v>
      </c>
      <c r="KK62" s="117">
        <f t="shared" si="6"/>
        <v>0</v>
      </c>
      <c r="KL62" s="117">
        <f t="shared" si="6"/>
        <v>0</v>
      </c>
      <c r="KM62" s="117">
        <f t="shared" si="6"/>
        <v>0</v>
      </c>
      <c r="KN62" s="117">
        <f t="shared" si="6"/>
        <v>0</v>
      </c>
      <c r="KO62" s="117">
        <f t="shared" si="6"/>
        <v>0</v>
      </c>
      <c r="KP62" s="117">
        <f t="shared" si="6"/>
        <v>0</v>
      </c>
      <c r="KQ62" s="117">
        <f t="shared" si="6"/>
        <v>0</v>
      </c>
      <c r="KR62" s="117">
        <f t="shared" si="6"/>
        <v>0</v>
      </c>
      <c r="KS62" s="117">
        <f t="shared" si="6"/>
        <v>0</v>
      </c>
      <c r="KT62" s="117">
        <f t="shared" si="6"/>
        <v>0</v>
      </c>
      <c r="KU62" s="117">
        <f t="shared" si="6"/>
        <v>0</v>
      </c>
      <c r="KV62" s="117">
        <f t="shared" si="6"/>
        <v>0</v>
      </c>
      <c r="KW62" s="117">
        <f t="shared" si="6"/>
        <v>0</v>
      </c>
      <c r="KX62" s="117">
        <f t="shared" si="6"/>
        <v>0</v>
      </c>
      <c r="KY62" s="117">
        <f t="shared" si="6"/>
        <v>0</v>
      </c>
      <c r="KZ62" s="117">
        <f t="shared" si="6"/>
        <v>0</v>
      </c>
      <c r="LA62" s="117">
        <f t="shared" si="6"/>
        <v>0</v>
      </c>
      <c r="LB62" s="117">
        <f t="shared" si="6"/>
        <v>0</v>
      </c>
      <c r="LC62" s="117">
        <f t="shared" si="6"/>
        <v>0</v>
      </c>
      <c r="LD62" s="117">
        <f t="shared" si="6"/>
        <v>0</v>
      </c>
      <c r="LE62" s="117">
        <f t="shared" si="6"/>
        <v>0</v>
      </c>
      <c r="LF62" s="117">
        <f t="shared" si="6"/>
        <v>0</v>
      </c>
      <c r="LG62" s="117">
        <f t="shared" si="6"/>
        <v>0</v>
      </c>
      <c r="LH62" s="117">
        <f t="shared" si="6"/>
        <v>0</v>
      </c>
      <c r="LI62" s="117">
        <f t="shared" si="6"/>
        <v>0</v>
      </c>
      <c r="LJ62" s="117">
        <f t="shared" si="6"/>
        <v>0</v>
      </c>
      <c r="LK62" s="117">
        <f t="shared" si="6"/>
        <v>0</v>
      </c>
      <c r="LL62" s="117">
        <f t="shared" si="6"/>
        <v>0</v>
      </c>
      <c r="LM62" s="117">
        <f t="shared" si="6"/>
        <v>0</v>
      </c>
      <c r="LN62" s="117">
        <f t="shared" si="6"/>
        <v>0</v>
      </c>
      <c r="LO62" s="117">
        <f t="shared" si="6"/>
        <v>0</v>
      </c>
      <c r="LP62" s="117">
        <f t="shared" si="6"/>
        <v>0</v>
      </c>
      <c r="LQ62" s="117">
        <f t="shared" si="6"/>
        <v>0</v>
      </c>
      <c r="LR62" s="117">
        <f t="shared" si="6"/>
        <v>0</v>
      </c>
      <c r="LS62" s="117">
        <f t="shared" si="6"/>
        <v>0</v>
      </c>
      <c r="LT62" s="117">
        <f t="shared" si="6"/>
        <v>0</v>
      </c>
      <c r="LU62" s="117">
        <f t="shared" si="6"/>
        <v>0</v>
      </c>
      <c r="LV62" s="117">
        <f t="shared" si="6"/>
        <v>0</v>
      </c>
      <c r="LW62" s="117">
        <f t="shared" si="6"/>
        <v>0</v>
      </c>
      <c r="LX62" s="117">
        <f t="shared" si="6"/>
        <v>0</v>
      </c>
      <c r="LY62" s="117">
        <f t="shared" si="6"/>
        <v>0</v>
      </c>
      <c r="LZ62" s="117">
        <f t="shared" si="6"/>
        <v>0</v>
      </c>
      <c r="MA62" s="117">
        <f t="shared" si="6"/>
        <v>0</v>
      </c>
      <c r="MB62" s="117">
        <f t="shared" si="6"/>
        <v>0</v>
      </c>
      <c r="MC62" s="117">
        <f t="shared" si="6"/>
        <v>0</v>
      </c>
      <c r="MD62" s="117">
        <f t="shared" si="6"/>
        <v>0</v>
      </c>
      <c r="ME62" s="117">
        <f t="shared" si="6"/>
        <v>0</v>
      </c>
      <c r="MF62" s="117">
        <f t="shared" si="6"/>
        <v>0</v>
      </c>
      <c r="MG62" s="117">
        <f t="shared" si="6"/>
        <v>0</v>
      </c>
      <c r="MH62" s="117">
        <f t="shared" si="6"/>
        <v>0</v>
      </c>
      <c r="MI62" s="117">
        <f t="shared" si="6"/>
        <v>0</v>
      </c>
      <c r="MJ62" s="117">
        <f t="shared" si="6"/>
        <v>0</v>
      </c>
      <c r="MK62" s="117">
        <f t="shared" si="6"/>
        <v>0</v>
      </c>
      <c r="ML62" s="117">
        <f t="shared" si="6"/>
        <v>0</v>
      </c>
      <c r="MM62" s="117">
        <f t="shared" si="6"/>
        <v>0</v>
      </c>
      <c r="MN62" s="117">
        <f t="shared" si="6"/>
        <v>0</v>
      </c>
      <c r="MO62" s="117">
        <f t="shared" si="6"/>
        <v>0</v>
      </c>
      <c r="MP62" s="117">
        <f t="shared" si="6"/>
        <v>0</v>
      </c>
      <c r="MQ62" s="117">
        <f t="shared" si="6"/>
        <v>0</v>
      </c>
      <c r="MR62" s="117">
        <f t="shared" si="6"/>
        <v>0</v>
      </c>
      <c r="MS62" s="117">
        <f t="shared" si="6"/>
        <v>0</v>
      </c>
      <c r="MT62" s="117">
        <f t="shared" si="6"/>
        <v>0</v>
      </c>
      <c r="MU62" s="117">
        <f t="shared" si="6"/>
        <v>0</v>
      </c>
      <c r="MV62" s="117">
        <f t="shared" si="6"/>
        <v>0</v>
      </c>
      <c r="MW62" s="117">
        <f t="shared" si="6"/>
        <v>0</v>
      </c>
      <c r="MX62" s="117">
        <f t="shared" si="6"/>
        <v>0</v>
      </c>
      <c r="MY62" s="117">
        <f t="shared" si="6"/>
        <v>0</v>
      </c>
      <c r="MZ62" s="117">
        <f t="shared" si="6"/>
        <v>0</v>
      </c>
      <c r="NA62" s="117">
        <f t="shared" si="6"/>
        <v>0</v>
      </c>
      <c r="NB62" s="117">
        <f t="shared" si="6"/>
        <v>0</v>
      </c>
      <c r="NC62" s="117">
        <f t="shared" si="6"/>
        <v>0</v>
      </c>
      <c r="ND62" s="117">
        <f t="shared" si="6"/>
        <v>0</v>
      </c>
      <c r="NE62" s="117">
        <f t="shared" si="6"/>
        <v>0</v>
      </c>
      <c r="NF62" s="117">
        <f t="shared" si="6"/>
        <v>0</v>
      </c>
      <c r="NG62" s="117">
        <f t="shared" si="6"/>
        <v>0</v>
      </c>
      <c r="NH62" s="117">
        <f t="shared" si="6"/>
        <v>0</v>
      </c>
      <c r="NI62" s="117">
        <f t="shared" si="6"/>
        <v>0</v>
      </c>
      <c r="NJ62" s="117">
        <f t="shared" si="6"/>
        <v>0</v>
      </c>
      <c r="NK62" s="117">
        <f t="shared" si="6"/>
        <v>0</v>
      </c>
      <c r="NL62" s="117">
        <f t="shared" si="6"/>
        <v>0</v>
      </c>
      <c r="NM62" s="117">
        <f t="shared" si="6"/>
        <v>0</v>
      </c>
      <c r="NN62" s="117">
        <f t="shared" si="6"/>
        <v>0</v>
      </c>
      <c r="NO62" s="117">
        <f t="shared" si="6"/>
        <v>0</v>
      </c>
      <c r="NP62" s="117">
        <f t="shared" si="6"/>
        <v>0</v>
      </c>
      <c r="NQ62" s="117">
        <f t="shared" si="6"/>
        <v>0</v>
      </c>
      <c r="NR62" s="117">
        <f t="shared" si="6"/>
        <v>0</v>
      </c>
      <c r="NS62" s="117">
        <f t="shared" si="6"/>
        <v>0</v>
      </c>
      <c r="NT62" s="117">
        <f t="shared" si="6"/>
        <v>0</v>
      </c>
      <c r="NU62" s="117">
        <f t="shared" si="6"/>
        <v>0</v>
      </c>
      <c r="NV62" s="117">
        <f t="shared" si="6"/>
        <v>0</v>
      </c>
      <c r="NW62" s="117">
        <f t="shared" si="6"/>
        <v>0</v>
      </c>
      <c r="NX62" s="117">
        <f t="shared" si="6"/>
        <v>0</v>
      </c>
      <c r="NY62" s="117">
        <f t="shared" si="6"/>
        <v>0</v>
      </c>
      <c r="NZ62" s="117">
        <f t="shared" si="6"/>
        <v>0</v>
      </c>
      <c r="OA62" s="117">
        <f t="shared" si="6"/>
        <v>0</v>
      </c>
      <c r="OB62" s="117">
        <f t="shared" si="6"/>
        <v>0</v>
      </c>
      <c r="OC62" s="117">
        <f t="shared" si="6"/>
        <v>0</v>
      </c>
      <c r="OD62" s="117">
        <f t="shared" si="6"/>
        <v>0</v>
      </c>
      <c r="OE62" s="117">
        <f t="shared" si="6"/>
        <v>0</v>
      </c>
      <c r="OF62" s="117">
        <f t="shared" si="6"/>
        <v>0</v>
      </c>
      <c r="OG62" s="117">
        <f t="shared" si="6"/>
        <v>0</v>
      </c>
      <c r="OH62" s="117">
        <f t="shared" si="6"/>
        <v>0</v>
      </c>
      <c r="OI62" s="117">
        <f t="shared" si="6"/>
        <v>0</v>
      </c>
      <c r="OJ62" s="117">
        <f t="shared" si="6"/>
        <v>0</v>
      </c>
      <c r="OK62" s="117">
        <f t="shared" si="6"/>
        <v>0</v>
      </c>
      <c r="OL62" s="117">
        <f t="shared" si="6"/>
        <v>0</v>
      </c>
      <c r="OM62" s="117">
        <f t="shared" si="6"/>
        <v>0</v>
      </c>
      <c r="ON62" s="117">
        <f t="shared" si="6"/>
        <v>0</v>
      </c>
      <c r="OO62" s="117">
        <f t="shared" si="6"/>
        <v>0</v>
      </c>
      <c r="OP62" s="117">
        <f t="shared" si="6"/>
        <v>0</v>
      </c>
      <c r="OQ62" s="117">
        <f t="shared" si="6"/>
        <v>0</v>
      </c>
      <c r="OR62" s="117">
        <f t="shared" si="6"/>
        <v>0</v>
      </c>
      <c r="OS62" s="117">
        <f t="shared" si="6"/>
        <v>0</v>
      </c>
      <c r="OT62" s="117">
        <f t="shared" si="6"/>
        <v>0</v>
      </c>
      <c r="OU62" s="117">
        <f t="shared" si="6"/>
        <v>0</v>
      </c>
      <c r="OV62" s="117">
        <f t="shared" si="6"/>
        <v>0</v>
      </c>
      <c r="OW62" s="117">
        <f t="shared" si="6"/>
        <v>0</v>
      </c>
      <c r="OX62" s="117">
        <f t="shared" si="6"/>
        <v>0</v>
      </c>
      <c r="OY62" s="117">
        <f t="shared" si="6"/>
        <v>0</v>
      </c>
      <c r="OZ62" s="117">
        <f t="shared" si="6"/>
        <v>0</v>
      </c>
      <c r="PA62" s="117">
        <f t="shared" si="6"/>
        <v>0</v>
      </c>
      <c r="PB62" s="117">
        <f t="shared" si="6"/>
        <v>0</v>
      </c>
      <c r="PC62" s="117">
        <f t="shared" si="6"/>
        <v>0</v>
      </c>
      <c r="PD62" s="117">
        <f t="shared" si="6"/>
        <v>0</v>
      </c>
      <c r="PE62" s="117">
        <f t="shared" si="6"/>
        <v>0</v>
      </c>
      <c r="PF62" s="117">
        <f t="shared" si="6"/>
        <v>0</v>
      </c>
      <c r="PG62" s="117">
        <f t="shared" si="6"/>
        <v>0</v>
      </c>
      <c r="PH62" s="117">
        <f t="shared" si="6"/>
        <v>0</v>
      </c>
      <c r="PI62" s="117">
        <f t="shared" si="6"/>
        <v>0</v>
      </c>
      <c r="PJ62" s="117">
        <f t="shared" si="6"/>
        <v>0</v>
      </c>
      <c r="PK62" s="117">
        <f t="shared" si="6"/>
        <v>0</v>
      </c>
      <c r="PL62" s="117">
        <f t="shared" si="6"/>
        <v>0</v>
      </c>
      <c r="PM62" s="117">
        <f t="shared" si="6"/>
        <v>0</v>
      </c>
      <c r="PN62" s="117">
        <f t="shared" si="6"/>
        <v>0</v>
      </c>
      <c r="PO62" s="117">
        <f t="shared" si="6"/>
        <v>0</v>
      </c>
      <c r="PP62" s="117">
        <f t="shared" si="6"/>
        <v>0</v>
      </c>
      <c r="PQ62" s="117">
        <f t="shared" si="6"/>
        <v>0</v>
      </c>
      <c r="PR62" s="117">
        <f t="shared" si="6"/>
        <v>0</v>
      </c>
      <c r="PS62" s="117">
        <f t="shared" si="6"/>
        <v>0</v>
      </c>
      <c r="PT62" s="117">
        <f t="shared" si="6"/>
        <v>0</v>
      </c>
      <c r="PU62" s="117">
        <f t="shared" si="6"/>
        <v>0</v>
      </c>
      <c r="PV62" s="117">
        <f t="shared" si="6"/>
        <v>0</v>
      </c>
      <c r="PW62" s="117">
        <f t="shared" si="6"/>
        <v>0</v>
      </c>
      <c r="PX62" s="117">
        <f t="shared" si="6"/>
        <v>0</v>
      </c>
      <c r="PY62" s="117">
        <f t="shared" si="6"/>
        <v>0</v>
      </c>
      <c r="PZ62" s="117">
        <f t="shared" si="6"/>
        <v>0</v>
      </c>
      <c r="QA62" s="117">
        <f t="shared" si="6"/>
        <v>0</v>
      </c>
      <c r="QB62" s="117">
        <f t="shared" si="6"/>
        <v>0</v>
      </c>
      <c r="QC62" s="117">
        <f t="shared" si="6"/>
        <v>0</v>
      </c>
      <c r="QD62" s="117">
        <f t="shared" si="6"/>
        <v>0</v>
      </c>
      <c r="QE62" s="117">
        <f t="shared" si="6"/>
        <v>0</v>
      </c>
      <c r="QF62" s="117">
        <f t="shared" si="6"/>
        <v>0</v>
      </c>
      <c r="QG62" s="117">
        <f t="shared" si="6"/>
        <v>0</v>
      </c>
      <c r="QH62" s="117">
        <f t="shared" si="6"/>
        <v>0</v>
      </c>
      <c r="QI62" s="117">
        <f t="shared" si="6"/>
        <v>0</v>
      </c>
      <c r="QJ62" s="117">
        <f t="shared" si="6"/>
        <v>0</v>
      </c>
      <c r="QK62" s="117">
        <f t="shared" si="6"/>
        <v>0</v>
      </c>
      <c r="QL62" s="117">
        <f t="shared" si="6"/>
        <v>0</v>
      </c>
      <c r="QM62" s="117">
        <f t="shared" si="6"/>
        <v>0</v>
      </c>
      <c r="QN62" s="117">
        <f t="shared" si="6"/>
        <v>0</v>
      </c>
      <c r="QO62" s="117">
        <f t="shared" si="6"/>
        <v>0</v>
      </c>
      <c r="QP62" s="117">
        <f t="shared" si="6"/>
        <v>0</v>
      </c>
      <c r="QQ62" s="117">
        <f t="shared" si="6"/>
        <v>0</v>
      </c>
      <c r="QR62" s="117">
        <f t="shared" si="6"/>
        <v>0</v>
      </c>
      <c r="QS62" s="117">
        <f t="shared" si="6"/>
        <v>0</v>
      </c>
      <c r="QT62" s="117">
        <f t="shared" si="6"/>
        <v>0</v>
      </c>
      <c r="QU62" s="117">
        <f t="shared" si="6"/>
        <v>0</v>
      </c>
      <c r="QV62" s="117">
        <f t="shared" si="6"/>
        <v>0</v>
      </c>
      <c r="QW62" s="117">
        <f t="shared" si="6"/>
        <v>0</v>
      </c>
      <c r="QX62" s="117">
        <f t="shared" si="6"/>
        <v>0</v>
      </c>
      <c r="QY62" s="117">
        <f t="shared" si="6"/>
        <v>0</v>
      </c>
      <c r="QZ62" s="117">
        <f t="shared" si="6"/>
        <v>0</v>
      </c>
      <c r="RA62" s="117">
        <f t="shared" si="6"/>
        <v>0</v>
      </c>
      <c r="RB62" s="117">
        <f t="shared" si="6"/>
        <v>0</v>
      </c>
      <c r="RC62" s="117">
        <f t="shared" si="6"/>
        <v>0</v>
      </c>
      <c r="RD62" s="117">
        <f t="shared" si="6"/>
        <v>0</v>
      </c>
      <c r="RE62" s="117">
        <f t="shared" si="6"/>
        <v>0</v>
      </c>
      <c r="RF62" s="117">
        <f t="shared" si="6"/>
        <v>0</v>
      </c>
      <c r="RG62" s="117">
        <f t="shared" si="6"/>
        <v>0</v>
      </c>
      <c r="RH62" s="117">
        <f t="shared" si="6"/>
        <v>0</v>
      </c>
      <c r="RI62" s="117">
        <f t="shared" si="6"/>
        <v>0</v>
      </c>
      <c r="RJ62" s="117">
        <f t="shared" si="6"/>
        <v>0</v>
      </c>
      <c r="RK62" s="117">
        <f t="shared" si="6"/>
        <v>0</v>
      </c>
      <c r="RL62" s="117">
        <f t="shared" si="6"/>
        <v>0</v>
      </c>
      <c r="RM62" s="117">
        <f t="shared" si="6"/>
        <v>0</v>
      </c>
      <c r="RN62" s="117">
        <f t="shared" si="6"/>
        <v>0</v>
      </c>
      <c r="RO62" s="117">
        <f t="shared" si="6"/>
        <v>0</v>
      </c>
      <c r="RP62" s="117">
        <f t="shared" si="6"/>
        <v>0</v>
      </c>
      <c r="RQ62" s="117">
        <f t="shared" si="6"/>
        <v>0</v>
      </c>
      <c r="RR62" s="117">
        <f t="shared" si="6"/>
        <v>0</v>
      </c>
      <c r="RS62" s="117">
        <f t="shared" si="6"/>
        <v>0</v>
      </c>
      <c r="RT62" s="117">
        <f t="shared" si="6"/>
        <v>0</v>
      </c>
      <c r="RU62" s="117">
        <f t="shared" si="6"/>
        <v>0</v>
      </c>
      <c r="RV62" s="117">
        <f t="shared" si="6"/>
        <v>0</v>
      </c>
      <c r="RW62" s="117">
        <f t="shared" si="6"/>
        <v>0</v>
      </c>
      <c r="RX62" s="117">
        <f t="shared" si="6"/>
        <v>0</v>
      </c>
      <c r="RY62" s="117">
        <f t="shared" si="6"/>
        <v>0</v>
      </c>
      <c r="RZ62" s="117">
        <f t="shared" si="6"/>
        <v>0</v>
      </c>
      <c r="SA62" s="117">
        <f t="shared" si="6"/>
        <v>0</v>
      </c>
      <c r="SB62" s="117">
        <f t="shared" si="6"/>
        <v>0</v>
      </c>
      <c r="SC62" s="117">
        <f t="shared" si="6"/>
        <v>0</v>
      </c>
      <c r="SD62" s="117">
        <f t="shared" si="6"/>
        <v>0</v>
      </c>
      <c r="SE62" s="117">
        <f t="shared" si="6"/>
        <v>0</v>
      </c>
      <c r="SF62" s="117">
        <f t="shared" si="6"/>
        <v>0</v>
      </c>
      <c r="SG62" s="117">
        <f t="shared" si="6"/>
        <v>0</v>
      </c>
      <c r="SH62" s="117">
        <f t="shared" si="6"/>
        <v>0</v>
      </c>
      <c r="SI62" s="117">
        <f t="shared" si="6"/>
        <v>0</v>
      </c>
      <c r="SJ62" s="117">
        <f t="shared" si="6"/>
        <v>0</v>
      </c>
      <c r="SK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  <c r="HX63" s="6"/>
      <c r="HY63" s="6"/>
      <c r="HZ63" s="6"/>
      <c r="IA63" s="6"/>
      <c r="IB63" s="6"/>
      <c r="IC63" s="6"/>
      <c r="ID63" s="6"/>
      <c r="IE63" s="6"/>
      <c r="IF63" s="6"/>
      <c r="IG63" s="6"/>
      <c r="IH63" s="6"/>
      <c r="II63" s="6"/>
      <c r="IJ63" s="6"/>
      <c r="IK63" s="6"/>
      <c r="IL63" s="6"/>
      <c r="IM63" s="6"/>
      <c r="IN63" s="6"/>
      <c r="IO63" s="6"/>
      <c r="IP63" s="6"/>
      <c r="IQ63" s="6"/>
      <c r="IR63" s="6"/>
      <c r="IS63" s="6"/>
      <c r="IT63" s="6"/>
      <c r="IU63" s="6"/>
      <c r="IV63" s="6"/>
      <c r="IW63" s="6"/>
      <c r="IX63" s="6"/>
      <c r="IY63" s="6"/>
      <c r="IZ63" s="6"/>
      <c r="JA63" s="6"/>
      <c r="JB63" s="6"/>
      <c r="JC63" s="6"/>
      <c r="JD63" s="6"/>
      <c r="JE63" s="6"/>
      <c r="JF63" s="6"/>
      <c r="JG63" s="6"/>
      <c r="JH63" s="6"/>
      <c r="JI63" s="6"/>
      <c r="JJ63" s="6"/>
      <c r="JK63" s="6"/>
      <c r="JL63" s="6"/>
      <c r="JM63" s="6"/>
      <c r="JN63" s="6"/>
      <c r="JO63" s="6"/>
      <c r="JP63" s="6"/>
      <c r="JQ63" s="6"/>
      <c r="JR63" s="6"/>
      <c r="JS63" s="6"/>
      <c r="JT63" s="6"/>
      <c r="JU63" s="6"/>
      <c r="JV63" s="6"/>
      <c r="JW63" s="6"/>
      <c r="JX63" s="6"/>
      <c r="JY63" s="6"/>
      <c r="JZ63" s="6"/>
      <c r="KA63" s="6"/>
      <c r="KB63" s="6"/>
      <c r="KC63" s="6"/>
      <c r="KD63" s="6"/>
      <c r="KE63" s="6"/>
      <c r="KF63" s="6"/>
      <c r="KG63" s="6"/>
      <c r="KH63" s="6"/>
      <c r="KI63" s="6"/>
      <c r="KJ63" s="6"/>
      <c r="KK63" s="6"/>
      <c r="KL63" s="6"/>
      <c r="KM63" s="6"/>
      <c r="KN63" s="6"/>
      <c r="KO63" s="6"/>
      <c r="KP63" s="6"/>
      <c r="KQ63" s="6"/>
      <c r="KR63" s="6"/>
      <c r="KS63" s="6"/>
      <c r="KT63" s="6"/>
      <c r="KU63" s="6"/>
      <c r="KV63" s="6"/>
      <c r="KW63" s="6"/>
      <c r="KX63" s="6"/>
      <c r="KY63" s="6"/>
      <c r="KZ63" s="6"/>
      <c r="LA63" s="6"/>
      <c r="LB63" s="6"/>
      <c r="LC63" s="6"/>
      <c r="LD63" s="6"/>
      <c r="LE63" s="6"/>
      <c r="LF63" s="6"/>
      <c r="LG63" s="6"/>
      <c r="LH63" s="6"/>
      <c r="LI63" s="6"/>
      <c r="LJ63" s="6"/>
      <c r="LK63" s="6"/>
      <c r="LL63" s="6"/>
      <c r="LM63" s="6"/>
      <c r="LN63" s="6"/>
      <c r="LO63" s="6"/>
      <c r="LP63" s="6"/>
      <c r="LQ63" s="6"/>
      <c r="LR63" s="6"/>
      <c r="LS63" s="6"/>
      <c r="LT63" s="6"/>
      <c r="LU63" s="6"/>
      <c r="LV63" s="6"/>
      <c r="LW63" s="6"/>
      <c r="LX63" s="6"/>
      <c r="LY63" s="6"/>
      <c r="LZ63" s="6"/>
      <c r="MA63" s="6"/>
      <c r="MB63" s="6"/>
      <c r="MC63" s="6"/>
      <c r="MD63" s="6"/>
      <c r="ME63" s="6"/>
      <c r="MF63" s="6"/>
      <c r="MG63" s="6"/>
      <c r="MH63" s="6"/>
      <c r="MI63" s="6"/>
      <c r="MJ63" s="6"/>
      <c r="MK63" s="6"/>
      <c r="ML63" s="6"/>
      <c r="MM63" s="6"/>
      <c r="MN63" s="6"/>
      <c r="MO63" s="6"/>
      <c r="MP63" s="6"/>
      <c r="MQ63" s="6"/>
      <c r="MR63" s="6"/>
      <c r="MS63" s="6"/>
      <c r="MT63" s="6"/>
      <c r="MU63" s="6"/>
      <c r="MV63" s="6"/>
      <c r="MW63" s="6"/>
      <c r="MX63" s="6"/>
      <c r="MY63" s="6"/>
      <c r="MZ63" s="6"/>
      <c r="NA63" s="6"/>
      <c r="NB63" s="6"/>
      <c r="NC63" s="6"/>
      <c r="ND63" s="6"/>
      <c r="NE63" s="6"/>
      <c r="NF63" s="6"/>
      <c r="NG63" s="6"/>
      <c r="NH63" s="6"/>
      <c r="NI63" s="6"/>
      <c r="NJ63" s="6"/>
      <c r="NK63" s="6"/>
      <c r="NL63" s="6"/>
      <c r="NM63" s="6"/>
      <c r="NN63" s="6"/>
      <c r="NO63" s="6"/>
      <c r="NP63" s="6"/>
      <c r="NQ63" s="6"/>
      <c r="NR63" s="6"/>
      <c r="NS63" s="6"/>
      <c r="NT63" s="6"/>
      <c r="NU63" s="6"/>
      <c r="NV63" s="6"/>
      <c r="NW63" s="6"/>
      <c r="NX63" s="6"/>
      <c r="NY63" s="6"/>
      <c r="NZ63" s="6"/>
      <c r="OA63" s="6"/>
      <c r="OB63" s="6"/>
      <c r="OC63" s="6"/>
      <c r="OD63" s="6"/>
      <c r="OE63" s="6"/>
      <c r="OF63" s="6"/>
      <c r="OG63" s="6"/>
      <c r="OH63" s="6"/>
      <c r="OI63" s="6"/>
      <c r="OJ63" s="6"/>
      <c r="OK63" s="6"/>
      <c r="OL63" s="6"/>
      <c r="OM63" s="6"/>
      <c r="ON63" s="6"/>
      <c r="OO63" s="6"/>
      <c r="OP63" s="6"/>
      <c r="OQ63" s="6"/>
      <c r="OR63" s="6"/>
      <c r="OS63" s="6"/>
      <c r="OT63" s="6"/>
      <c r="OU63" s="6"/>
      <c r="OV63" s="6"/>
      <c r="OW63" s="6"/>
      <c r="OX63" s="6"/>
      <c r="OY63" s="6"/>
      <c r="OZ63" s="6"/>
      <c r="PA63" s="6"/>
      <c r="PB63" s="6"/>
      <c r="PC63" s="6"/>
      <c r="PD63" s="6"/>
      <c r="PE63" s="6"/>
      <c r="PF63" s="6"/>
      <c r="PG63" s="6"/>
      <c r="PH63" s="6"/>
      <c r="PI63" s="6"/>
      <c r="PJ63" s="6"/>
      <c r="PK63" s="6"/>
      <c r="PL63" s="6"/>
      <c r="PM63" s="6"/>
      <c r="PN63" s="6"/>
      <c r="PO63" s="6"/>
      <c r="PP63" s="6"/>
      <c r="PQ63" s="6"/>
      <c r="PR63" s="6"/>
      <c r="PS63" s="6"/>
      <c r="PT63" s="6"/>
      <c r="PU63" s="6"/>
      <c r="PV63" s="6"/>
      <c r="PW63" s="6"/>
      <c r="PX63" s="6"/>
      <c r="PY63" s="6"/>
      <c r="PZ63" s="6"/>
      <c r="QA63" s="6"/>
      <c r="QB63" s="6"/>
      <c r="QC63" s="6"/>
      <c r="QD63" s="6"/>
      <c r="QE63" s="6"/>
      <c r="QF63" s="6"/>
      <c r="QG63" s="6"/>
      <c r="QH63" s="6"/>
      <c r="QI63" s="6"/>
      <c r="QJ63" s="6"/>
      <c r="QK63" s="6"/>
      <c r="QL63" s="6"/>
      <c r="QM63" s="6"/>
      <c r="QN63" s="6"/>
      <c r="QO63" s="6"/>
      <c r="QP63" s="6"/>
      <c r="QQ63" s="6"/>
      <c r="QR63" s="6"/>
      <c r="QS63" s="6"/>
      <c r="QT63" s="6"/>
      <c r="QU63" s="6"/>
      <c r="QV63" s="6"/>
      <c r="QW63" s="6"/>
      <c r="QX63" s="6"/>
      <c r="QY63" s="6"/>
      <c r="QZ63" s="6"/>
      <c r="RA63" s="6"/>
      <c r="RB63" s="6"/>
      <c r="RC63" s="6"/>
      <c r="RD63" s="6"/>
      <c r="RE63" s="6"/>
      <c r="RF63" s="6"/>
      <c r="RG63" s="6"/>
      <c r="RH63" s="6"/>
      <c r="RI63" s="6"/>
      <c r="RJ63" s="6"/>
      <c r="RK63" s="6"/>
      <c r="RL63" s="6"/>
      <c r="RM63" s="6"/>
      <c r="RN63" s="6"/>
      <c r="RO63" s="6"/>
      <c r="RP63" s="6"/>
      <c r="RQ63" s="6"/>
      <c r="RR63" s="6"/>
      <c r="RS63" s="6"/>
      <c r="RT63" s="6"/>
      <c r="RU63" s="6"/>
      <c r="RV63" s="6"/>
      <c r="RW63" s="6"/>
      <c r="RX63" s="6"/>
      <c r="RY63" s="6"/>
      <c r="RZ63" s="6"/>
      <c r="SA63" s="6"/>
      <c r="SB63" s="6"/>
      <c r="SC63" s="6"/>
      <c r="SD63" s="6"/>
      <c r="SE63" s="6"/>
      <c r="SF63" s="6"/>
      <c r="SG63" s="6"/>
      <c r="SH63" s="6"/>
      <c r="SI63" s="6"/>
      <c r="SJ63" s="6"/>
      <c r="SK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U64" s="6"/>
      <c r="HV64" s="6"/>
      <c r="HW64" s="6"/>
      <c r="HX64" s="6"/>
      <c r="HY64" s="6"/>
      <c r="HZ64" s="6"/>
      <c r="IA64" s="6"/>
      <c r="IB64" s="6"/>
      <c r="IC64" s="6"/>
      <c r="ID64" s="6"/>
      <c r="IE64" s="6"/>
      <c r="IF64" s="6"/>
      <c r="IG64" s="6"/>
      <c r="IH64" s="6"/>
      <c r="II64" s="6"/>
      <c r="IJ64" s="6"/>
      <c r="IK64" s="6"/>
      <c r="IL64" s="6"/>
      <c r="IM64" s="6"/>
      <c r="IN64" s="6"/>
      <c r="IO64" s="6"/>
      <c r="IP64" s="6"/>
      <c r="IQ64" s="6"/>
      <c r="IR64" s="6"/>
      <c r="IS64" s="6"/>
      <c r="IT64" s="6"/>
      <c r="IU64" s="6"/>
      <c r="IV64" s="6"/>
      <c r="IW64" s="6"/>
      <c r="IX64" s="6"/>
      <c r="IY64" s="6"/>
      <c r="IZ64" s="6"/>
      <c r="JA64" s="6"/>
      <c r="JB64" s="6"/>
      <c r="JC64" s="6"/>
      <c r="JD64" s="6"/>
      <c r="JE64" s="6"/>
      <c r="JF64" s="6"/>
      <c r="JG64" s="6"/>
      <c r="JH64" s="6"/>
      <c r="JI64" s="6"/>
      <c r="JJ64" s="6"/>
      <c r="JK64" s="6"/>
      <c r="JL64" s="6"/>
      <c r="JM64" s="6"/>
      <c r="JN64" s="6"/>
      <c r="JO64" s="6"/>
      <c r="JP64" s="6"/>
      <c r="JQ64" s="6"/>
      <c r="JR64" s="6"/>
      <c r="JS64" s="6"/>
      <c r="JT64" s="6"/>
      <c r="JU64" s="6"/>
      <c r="JV64" s="6"/>
      <c r="JW64" s="6"/>
      <c r="JX64" s="6"/>
      <c r="JY64" s="6"/>
      <c r="JZ64" s="6"/>
      <c r="KA64" s="6"/>
      <c r="KB64" s="6"/>
      <c r="KC64" s="6"/>
      <c r="KD64" s="6"/>
      <c r="KE64" s="6"/>
      <c r="KF64" s="6"/>
      <c r="KG64" s="6"/>
      <c r="KH64" s="6"/>
      <c r="KI64" s="6"/>
      <c r="KJ64" s="6"/>
      <c r="KK64" s="6"/>
      <c r="KL64" s="6"/>
      <c r="KM64" s="6"/>
      <c r="KN64" s="6"/>
      <c r="KO64" s="6"/>
      <c r="KP64" s="6"/>
      <c r="KQ64" s="6"/>
      <c r="KR64" s="6"/>
      <c r="KS64" s="6"/>
      <c r="KT64" s="6"/>
      <c r="KU64" s="6"/>
      <c r="KV64" s="6"/>
      <c r="KW64" s="6"/>
      <c r="KX64" s="6"/>
      <c r="KY64" s="6"/>
      <c r="KZ64" s="6"/>
      <c r="LA64" s="6"/>
      <c r="LB64" s="6"/>
      <c r="LC64" s="6"/>
      <c r="LD64" s="6"/>
      <c r="LE64" s="6"/>
      <c r="LF64" s="6"/>
      <c r="LG64" s="6"/>
      <c r="LH64" s="6"/>
      <c r="LI64" s="6"/>
      <c r="LJ64" s="6"/>
      <c r="LK64" s="6"/>
      <c r="LL64" s="6"/>
      <c r="LM64" s="6"/>
      <c r="LN64" s="6"/>
      <c r="LO64" s="6"/>
      <c r="LP64" s="6"/>
      <c r="LQ64" s="6"/>
      <c r="LR64" s="6"/>
      <c r="LS64" s="6"/>
      <c r="LT64" s="6"/>
      <c r="LU64" s="6"/>
      <c r="LV64" s="6"/>
      <c r="LW64" s="6"/>
      <c r="LX64" s="6"/>
      <c r="LY64" s="6"/>
      <c r="LZ64" s="6"/>
      <c r="MA64" s="6"/>
      <c r="MB64" s="6"/>
      <c r="MC64" s="6"/>
      <c r="MD64" s="6"/>
      <c r="ME64" s="6"/>
      <c r="MF64" s="6"/>
      <c r="MG64" s="6"/>
      <c r="MH64" s="6"/>
      <c r="MI64" s="6"/>
      <c r="MJ64" s="6"/>
      <c r="MK64" s="6"/>
      <c r="ML64" s="6"/>
      <c r="MM64" s="6"/>
      <c r="MN64" s="6"/>
      <c r="MO64" s="6"/>
      <c r="MP64" s="6"/>
      <c r="MQ64" s="6"/>
      <c r="MR64" s="6"/>
      <c r="MS64" s="6"/>
      <c r="MT64" s="6"/>
      <c r="MU64" s="6"/>
      <c r="MV64" s="6"/>
      <c r="MW64" s="6"/>
      <c r="MX64" s="6"/>
      <c r="MY64" s="6"/>
      <c r="MZ64" s="6"/>
      <c r="NA64" s="6"/>
      <c r="NB64" s="6"/>
      <c r="NC64" s="6"/>
      <c r="ND64" s="6"/>
      <c r="NE64" s="6"/>
      <c r="NF64" s="6"/>
      <c r="NG64" s="6"/>
      <c r="NH64" s="6"/>
      <c r="NI64" s="6"/>
      <c r="NJ64" s="6"/>
      <c r="NK64" s="6"/>
      <c r="NL64" s="6"/>
      <c r="NM64" s="6"/>
      <c r="NN64" s="6"/>
      <c r="NO64" s="6"/>
      <c r="NP64" s="6"/>
      <c r="NQ64" s="6"/>
      <c r="NR64" s="6"/>
      <c r="NS64" s="6"/>
      <c r="NT64" s="6"/>
      <c r="NU64" s="6"/>
      <c r="NV64" s="6"/>
      <c r="NW64" s="6"/>
      <c r="NX64" s="6"/>
      <c r="NY64" s="6"/>
      <c r="NZ64" s="6"/>
      <c r="OA64" s="6"/>
      <c r="OB64" s="6"/>
      <c r="OC64" s="6"/>
      <c r="OD64" s="6"/>
      <c r="OE64" s="6"/>
      <c r="OF64" s="6"/>
      <c r="OG64" s="6"/>
      <c r="OH64" s="6"/>
      <c r="OI64" s="6"/>
      <c r="OJ64" s="6"/>
      <c r="OK64" s="6"/>
      <c r="OL64" s="6"/>
      <c r="OM64" s="6"/>
      <c r="ON64" s="6"/>
      <c r="OO64" s="6"/>
      <c r="OP64" s="6"/>
      <c r="OQ64" s="6"/>
      <c r="OR64" s="6"/>
      <c r="OS64" s="6"/>
      <c r="OT64" s="6"/>
      <c r="OU64" s="6"/>
      <c r="OV64" s="6"/>
      <c r="OW64" s="6"/>
      <c r="OX64" s="6"/>
      <c r="OY64" s="6"/>
      <c r="OZ64" s="6"/>
      <c r="PA64" s="6"/>
      <c r="PB64" s="6"/>
      <c r="PC64" s="6"/>
      <c r="PD64" s="6"/>
      <c r="PE64" s="6"/>
      <c r="PF64" s="6"/>
      <c r="PG64" s="6"/>
      <c r="PH64" s="6"/>
      <c r="PI64" s="6"/>
      <c r="PJ64" s="6"/>
      <c r="PK64" s="6"/>
      <c r="PL64" s="6"/>
      <c r="PM64" s="6"/>
      <c r="PN64" s="6"/>
      <c r="PO64" s="6"/>
      <c r="PP64" s="6"/>
      <c r="PQ64" s="6"/>
      <c r="PR64" s="6"/>
      <c r="PS64" s="6"/>
      <c r="PT64" s="6"/>
      <c r="PU64" s="6"/>
      <c r="PV64" s="6"/>
      <c r="PW64" s="6"/>
      <c r="PX64" s="6"/>
      <c r="PY64" s="6"/>
      <c r="PZ64" s="6"/>
      <c r="QA64" s="6"/>
      <c r="QB64" s="6"/>
      <c r="QC64" s="6"/>
      <c r="QD64" s="6"/>
      <c r="QE64" s="6"/>
      <c r="QF64" s="6"/>
      <c r="QG64" s="6"/>
      <c r="QH64" s="6"/>
      <c r="QI64" s="6"/>
      <c r="QJ64" s="6"/>
      <c r="QK64" s="6"/>
      <c r="QL64" s="6"/>
      <c r="QM64" s="6"/>
      <c r="QN64" s="6"/>
      <c r="QO64" s="6"/>
      <c r="QP64" s="6"/>
      <c r="QQ64" s="6"/>
      <c r="QR64" s="6"/>
      <c r="QS64" s="6"/>
      <c r="QT64" s="6"/>
      <c r="QU64" s="6"/>
      <c r="QV64" s="6"/>
      <c r="QW64" s="6"/>
      <c r="QX64" s="6"/>
      <c r="QY64" s="6"/>
      <c r="QZ64" s="6"/>
      <c r="RA64" s="6"/>
      <c r="RB64" s="6"/>
      <c r="RC64" s="6"/>
      <c r="RD64" s="6"/>
      <c r="RE64" s="6"/>
      <c r="RF64" s="6"/>
      <c r="RG64" s="6"/>
      <c r="RH64" s="6"/>
      <c r="RI64" s="6"/>
      <c r="RJ64" s="6"/>
      <c r="RK64" s="6"/>
      <c r="RL64" s="6"/>
      <c r="RM64" s="6"/>
      <c r="RN64" s="6"/>
      <c r="RO64" s="6"/>
      <c r="RP64" s="6"/>
      <c r="RQ64" s="6"/>
      <c r="RR64" s="6"/>
      <c r="RS64" s="6"/>
      <c r="RT64" s="6"/>
      <c r="RU64" s="6"/>
      <c r="RV64" s="6"/>
      <c r="RW64" s="6"/>
      <c r="RX64" s="6"/>
      <c r="RY64" s="6"/>
      <c r="RZ64" s="6"/>
      <c r="SA64" s="6"/>
      <c r="SB64" s="6"/>
      <c r="SC64" s="6"/>
      <c r="SD64" s="6"/>
      <c r="SE64" s="6"/>
      <c r="SF64" s="6"/>
      <c r="SG64" s="6"/>
      <c r="SH64" s="6"/>
      <c r="SI64" s="6"/>
      <c r="SJ64" s="6"/>
      <c r="SK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/>
      <c r="IA65" s="6"/>
      <c r="IB65" s="6"/>
      <c r="IC65" s="6"/>
      <c r="ID65" s="6"/>
      <c r="IE65" s="6"/>
      <c r="IF65" s="6"/>
      <c r="IG65" s="6"/>
      <c r="IH65" s="6"/>
      <c r="II65" s="6"/>
      <c r="IJ65" s="6"/>
      <c r="IK65" s="6"/>
      <c r="IL65" s="6"/>
      <c r="IM65" s="6"/>
      <c r="IN65" s="6"/>
      <c r="IO65" s="6"/>
      <c r="IP65" s="6"/>
      <c r="IQ65" s="6"/>
      <c r="IR65" s="6"/>
      <c r="IS65" s="6"/>
      <c r="IT65" s="6"/>
      <c r="IU65" s="6"/>
      <c r="IV65" s="6"/>
      <c r="IW65" s="6"/>
      <c r="IX65" s="6"/>
      <c r="IY65" s="6"/>
      <c r="IZ65" s="6"/>
      <c r="JA65" s="6"/>
      <c r="JB65" s="6"/>
      <c r="JC65" s="6"/>
      <c r="JD65" s="6"/>
      <c r="JE65" s="6"/>
      <c r="JF65" s="6"/>
      <c r="JG65" s="6"/>
      <c r="JH65" s="6"/>
      <c r="JI65" s="6"/>
      <c r="JJ65" s="6"/>
      <c r="JK65" s="6"/>
      <c r="JL65" s="6"/>
      <c r="JM65" s="6"/>
      <c r="JN65" s="6"/>
      <c r="JO65" s="6"/>
      <c r="JP65" s="6"/>
      <c r="JQ65" s="6"/>
      <c r="JR65" s="6"/>
      <c r="JS65" s="6"/>
      <c r="JT65" s="6"/>
      <c r="JU65" s="6"/>
      <c r="JV65" s="6"/>
      <c r="JW65" s="6"/>
      <c r="JX65" s="6"/>
      <c r="JY65" s="6"/>
      <c r="JZ65" s="6"/>
      <c r="KA65" s="6"/>
      <c r="KB65" s="6"/>
      <c r="KC65" s="6"/>
      <c r="KD65" s="6"/>
      <c r="KE65" s="6"/>
      <c r="KF65" s="6"/>
      <c r="KG65" s="6"/>
      <c r="KH65" s="6"/>
      <c r="KI65" s="6"/>
      <c r="KJ65" s="6"/>
      <c r="KK65" s="6"/>
      <c r="KL65" s="6"/>
      <c r="KM65" s="6"/>
      <c r="KN65" s="6"/>
      <c r="KO65" s="6"/>
      <c r="KP65" s="6"/>
      <c r="KQ65" s="6"/>
      <c r="KR65" s="6"/>
      <c r="KS65" s="6"/>
      <c r="KT65" s="6"/>
      <c r="KU65" s="6"/>
      <c r="KV65" s="6"/>
      <c r="KW65" s="6"/>
      <c r="KX65" s="6"/>
      <c r="KY65" s="6"/>
      <c r="KZ65" s="6"/>
      <c r="LA65" s="6"/>
      <c r="LB65" s="6"/>
      <c r="LC65" s="6"/>
      <c r="LD65" s="6"/>
      <c r="LE65" s="6"/>
      <c r="LF65" s="6"/>
      <c r="LG65" s="6"/>
      <c r="LH65" s="6"/>
      <c r="LI65" s="6"/>
      <c r="LJ65" s="6"/>
      <c r="LK65" s="6"/>
      <c r="LL65" s="6"/>
      <c r="LM65" s="6"/>
      <c r="LN65" s="6"/>
      <c r="LO65" s="6"/>
      <c r="LP65" s="6"/>
      <c r="LQ65" s="6"/>
      <c r="LR65" s="6"/>
      <c r="LS65" s="6"/>
      <c r="LT65" s="6"/>
      <c r="LU65" s="6"/>
      <c r="LV65" s="6"/>
      <c r="LW65" s="6"/>
      <c r="LX65" s="6"/>
      <c r="LY65" s="6"/>
      <c r="LZ65" s="6"/>
      <c r="MA65" s="6"/>
      <c r="MB65" s="6"/>
      <c r="MC65" s="6"/>
      <c r="MD65" s="6"/>
      <c r="ME65" s="6"/>
      <c r="MF65" s="6"/>
      <c r="MG65" s="6"/>
      <c r="MH65" s="6"/>
      <c r="MI65" s="6"/>
      <c r="MJ65" s="6"/>
      <c r="MK65" s="6"/>
      <c r="ML65" s="6"/>
      <c r="MM65" s="6"/>
      <c r="MN65" s="6"/>
      <c r="MO65" s="6"/>
      <c r="MP65" s="6"/>
      <c r="MQ65" s="6"/>
      <c r="MR65" s="6"/>
      <c r="MS65" s="6"/>
      <c r="MT65" s="6"/>
      <c r="MU65" s="6"/>
      <c r="MV65" s="6"/>
      <c r="MW65" s="6"/>
      <c r="MX65" s="6"/>
      <c r="MY65" s="6"/>
      <c r="MZ65" s="6"/>
      <c r="NA65" s="6"/>
      <c r="NB65" s="6"/>
      <c r="NC65" s="6"/>
      <c r="ND65" s="6"/>
      <c r="NE65" s="6"/>
      <c r="NF65" s="6"/>
      <c r="NG65" s="6"/>
      <c r="NH65" s="6"/>
      <c r="NI65" s="6"/>
      <c r="NJ65" s="6"/>
      <c r="NK65" s="6"/>
      <c r="NL65" s="6"/>
      <c r="NM65" s="6"/>
      <c r="NN65" s="6"/>
      <c r="NO65" s="6"/>
      <c r="NP65" s="6"/>
      <c r="NQ65" s="6"/>
      <c r="NR65" s="6"/>
      <c r="NS65" s="6"/>
      <c r="NT65" s="6"/>
      <c r="NU65" s="6"/>
      <c r="NV65" s="6"/>
      <c r="NW65" s="6"/>
      <c r="NX65" s="6"/>
      <c r="NY65" s="6"/>
      <c r="NZ65" s="6"/>
      <c r="OA65" s="6"/>
      <c r="OB65" s="6"/>
      <c r="OC65" s="6"/>
      <c r="OD65" s="6"/>
      <c r="OE65" s="6"/>
      <c r="OF65" s="6"/>
      <c r="OG65" s="6"/>
      <c r="OH65" s="6"/>
      <c r="OI65" s="6"/>
      <c r="OJ65" s="6"/>
      <c r="OK65" s="6"/>
      <c r="OL65" s="6"/>
      <c r="OM65" s="6"/>
      <c r="ON65" s="6"/>
      <c r="OO65" s="6"/>
      <c r="OP65" s="6"/>
      <c r="OQ65" s="6"/>
      <c r="OR65" s="6"/>
      <c r="OS65" s="6"/>
      <c r="OT65" s="6"/>
      <c r="OU65" s="6"/>
      <c r="OV65" s="6"/>
      <c r="OW65" s="6"/>
      <c r="OX65" s="6"/>
      <c r="OY65" s="6"/>
      <c r="OZ65" s="6"/>
      <c r="PA65" s="6"/>
      <c r="PB65" s="6"/>
      <c r="PC65" s="6"/>
      <c r="PD65" s="6"/>
      <c r="PE65" s="6"/>
      <c r="PF65" s="6"/>
      <c r="PG65" s="6"/>
      <c r="PH65" s="6"/>
      <c r="PI65" s="6"/>
      <c r="PJ65" s="6"/>
      <c r="PK65" s="6"/>
      <c r="PL65" s="6"/>
      <c r="PM65" s="6"/>
      <c r="PN65" s="6"/>
      <c r="PO65" s="6"/>
      <c r="PP65" s="6"/>
      <c r="PQ65" s="6"/>
      <c r="PR65" s="6"/>
      <c r="PS65" s="6"/>
      <c r="PT65" s="6"/>
      <c r="PU65" s="6"/>
      <c r="PV65" s="6"/>
      <c r="PW65" s="6"/>
      <c r="PX65" s="6"/>
      <c r="PY65" s="6"/>
      <c r="PZ65" s="6"/>
      <c r="QA65" s="6"/>
      <c r="QB65" s="6"/>
      <c r="QC65" s="6"/>
      <c r="QD65" s="6"/>
      <c r="QE65" s="6"/>
      <c r="QF65" s="6"/>
      <c r="QG65" s="6"/>
      <c r="QH65" s="6"/>
      <c r="QI65" s="6"/>
      <c r="QJ65" s="6"/>
      <c r="QK65" s="6"/>
      <c r="QL65" s="6"/>
      <c r="QM65" s="6"/>
      <c r="QN65" s="6"/>
      <c r="QO65" s="6"/>
      <c r="QP65" s="6"/>
      <c r="QQ65" s="6"/>
      <c r="QR65" s="6"/>
      <c r="QS65" s="6"/>
      <c r="QT65" s="6"/>
      <c r="QU65" s="6"/>
      <c r="QV65" s="6"/>
      <c r="QW65" s="6"/>
      <c r="QX65" s="6"/>
      <c r="QY65" s="6"/>
      <c r="QZ65" s="6"/>
      <c r="RA65" s="6"/>
      <c r="RB65" s="6"/>
      <c r="RC65" s="6"/>
      <c r="RD65" s="6"/>
      <c r="RE65" s="6"/>
      <c r="RF65" s="6"/>
      <c r="RG65" s="6"/>
      <c r="RH65" s="6"/>
      <c r="RI65" s="6"/>
      <c r="RJ65" s="6"/>
      <c r="RK65" s="6"/>
      <c r="RL65" s="6"/>
      <c r="RM65" s="6"/>
      <c r="RN65" s="6"/>
      <c r="RO65" s="6"/>
      <c r="RP65" s="6"/>
      <c r="RQ65" s="6"/>
      <c r="RR65" s="6"/>
      <c r="RS65" s="6"/>
      <c r="RT65" s="6"/>
      <c r="RU65" s="6"/>
      <c r="RV65" s="6"/>
      <c r="RW65" s="6"/>
      <c r="RX65" s="6"/>
      <c r="RY65" s="6"/>
      <c r="RZ65" s="6"/>
      <c r="SA65" s="6"/>
      <c r="SB65" s="6"/>
      <c r="SC65" s="6"/>
      <c r="SD65" s="6"/>
      <c r="SE65" s="6"/>
      <c r="SF65" s="6"/>
      <c r="SG65" s="6"/>
      <c r="SH65" s="6"/>
      <c r="SI65" s="6"/>
      <c r="SJ65" s="6"/>
      <c r="SK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  <c r="HY66" s="6"/>
      <c r="HZ66" s="6"/>
      <c r="IA66" s="6"/>
      <c r="IB66" s="6"/>
      <c r="IC66" s="6"/>
      <c r="ID66" s="6"/>
      <c r="IE66" s="6"/>
      <c r="IF66" s="6"/>
      <c r="IG66" s="6"/>
      <c r="IH66" s="6"/>
      <c r="II66" s="6"/>
      <c r="IJ66" s="6"/>
      <c r="IK66" s="6"/>
      <c r="IL66" s="6"/>
      <c r="IM66" s="6"/>
      <c r="IN66" s="6"/>
      <c r="IO66" s="6"/>
      <c r="IP66" s="6"/>
      <c r="IQ66" s="6"/>
      <c r="IR66" s="6"/>
      <c r="IS66" s="6"/>
      <c r="IT66" s="6"/>
      <c r="IU66" s="6"/>
      <c r="IV66" s="6"/>
      <c r="IW66" s="6"/>
      <c r="IX66" s="6"/>
      <c r="IY66" s="6"/>
      <c r="IZ66" s="6"/>
      <c r="JA66" s="6"/>
      <c r="JB66" s="6"/>
      <c r="JC66" s="6"/>
      <c r="JD66" s="6"/>
      <c r="JE66" s="6"/>
      <c r="JF66" s="6"/>
      <c r="JG66" s="6"/>
      <c r="JH66" s="6"/>
      <c r="JI66" s="6"/>
      <c r="JJ66" s="6"/>
      <c r="JK66" s="6"/>
      <c r="JL66" s="6"/>
      <c r="JM66" s="6"/>
      <c r="JN66" s="6"/>
      <c r="JO66" s="6"/>
      <c r="JP66" s="6"/>
      <c r="JQ66" s="6"/>
      <c r="JR66" s="6"/>
      <c r="JS66" s="6"/>
      <c r="JT66" s="6"/>
      <c r="JU66" s="6"/>
      <c r="JV66" s="6"/>
      <c r="JW66" s="6"/>
      <c r="JX66" s="6"/>
      <c r="JY66" s="6"/>
      <c r="JZ66" s="6"/>
      <c r="KA66" s="6"/>
      <c r="KB66" s="6"/>
      <c r="KC66" s="6"/>
      <c r="KD66" s="6"/>
      <c r="KE66" s="6"/>
      <c r="KF66" s="6"/>
      <c r="KG66" s="6"/>
      <c r="KH66" s="6"/>
      <c r="KI66" s="6"/>
      <c r="KJ66" s="6"/>
      <c r="KK66" s="6"/>
      <c r="KL66" s="6"/>
      <c r="KM66" s="6"/>
      <c r="KN66" s="6"/>
      <c r="KO66" s="6"/>
      <c r="KP66" s="6"/>
      <c r="KQ66" s="6"/>
      <c r="KR66" s="6"/>
      <c r="KS66" s="6"/>
      <c r="KT66" s="6"/>
      <c r="KU66" s="6"/>
      <c r="KV66" s="6"/>
      <c r="KW66" s="6"/>
      <c r="KX66" s="6"/>
      <c r="KY66" s="6"/>
      <c r="KZ66" s="6"/>
      <c r="LA66" s="6"/>
      <c r="LB66" s="6"/>
      <c r="LC66" s="6"/>
      <c r="LD66" s="6"/>
      <c r="LE66" s="6"/>
      <c r="LF66" s="6"/>
      <c r="LG66" s="6"/>
      <c r="LH66" s="6"/>
      <c r="LI66" s="6"/>
      <c r="LJ66" s="6"/>
      <c r="LK66" s="6"/>
      <c r="LL66" s="6"/>
      <c r="LM66" s="6"/>
      <c r="LN66" s="6"/>
      <c r="LO66" s="6"/>
      <c r="LP66" s="6"/>
      <c r="LQ66" s="6"/>
      <c r="LR66" s="6"/>
      <c r="LS66" s="6"/>
      <c r="LT66" s="6"/>
      <c r="LU66" s="6"/>
      <c r="LV66" s="6"/>
      <c r="LW66" s="6"/>
      <c r="LX66" s="6"/>
      <c r="LY66" s="6"/>
      <c r="LZ66" s="6"/>
      <c r="MA66" s="6"/>
      <c r="MB66" s="6"/>
      <c r="MC66" s="6"/>
      <c r="MD66" s="6"/>
      <c r="ME66" s="6"/>
      <c r="MF66" s="6"/>
      <c r="MG66" s="6"/>
      <c r="MH66" s="6"/>
      <c r="MI66" s="6"/>
      <c r="MJ66" s="6"/>
      <c r="MK66" s="6"/>
      <c r="ML66" s="6"/>
      <c r="MM66" s="6"/>
      <c r="MN66" s="6"/>
      <c r="MO66" s="6"/>
      <c r="MP66" s="6"/>
      <c r="MQ66" s="6"/>
      <c r="MR66" s="6"/>
      <c r="MS66" s="6"/>
      <c r="MT66" s="6"/>
      <c r="MU66" s="6"/>
      <c r="MV66" s="6"/>
      <c r="MW66" s="6"/>
      <c r="MX66" s="6"/>
      <c r="MY66" s="6"/>
      <c r="MZ66" s="6"/>
      <c r="NA66" s="6"/>
      <c r="NB66" s="6"/>
      <c r="NC66" s="6"/>
      <c r="ND66" s="6"/>
      <c r="NE66" s="6"/>
      <c r="NF66" s="6"/>
      <c r="NG66" s="6"/>
      <c r="NH66" s="6"/>
      <c r="NI66" s="6"/>
      <c r="NJ66" s="6"/>
      <c r="NK66" s="6"/>
      <c r="NL66" s="6"/>
      <c r="NM66" s="6"/>
      <c r="NN66" s="6"/>
      <c r="NO66" s="6"/>
      <c r="NP66" s="6"/>
      <c r="NQ66" s="6"/>
      <c r="NR66" s="6"/>
      <c r="NS66" s="6"/>
      <c r="NT66" s="6"/>
      <c r="NU66" s="6"/>
      <c r="NV66" s="6"/>
      <c r="NW66" s="6"/>
      <c r="NX66" s="6"/>
      <c r="NY66" s="6"/>
      <c r="NZ66" s="6"/>
      <c r="OA66" s="6"/>
      <c r="OB66" s="6"/>
      <c r="OC66" s="6"/>
      <c r="OD66" s="6"/>
      <c r="OE66" s="6"/>
      <c r="OF66" s="6"/>
      <c r="OG66" s="6"/>
      <c r="OH66" s="6"/>
      <c r="OI66" s="6"/>
      <c r="OJ66" s="6"/>
      <c r="OK66" s="6"/>
      <c r="OL66" s="6"/>
      <c r="OM66" s="6"/>
      <c r="ON66" s="6"/>
      <c r="OO66" s="6"/>
      <c r="OP66" s="6"/>
      <c r="OQ66" s="6"/>
      <c r="OR66" s="6"/>
      <c r="OS66" s="6"/>
      <c r="OT66" s="6"/>
      <c r="OU66" s="6"/>
      <c r="OV66" s="6"/>
      <c r="OW66" s="6"/>
      <c r="OX66" s="6"/>
      <c r="OY66" s="6"/>
      <c r="OZ66" s="6"/>
      <c r="PA66" s="6"/>
      <c r="PB66" s="6"/>
      <c r="PC66" s="6"/>
      <c r="PD66" s="6"/>
      <c r="PE66" s="6"/>
      <c r="PF66" s="6"/>
      <c r="PG66" s="6"/>
      <c r="PH66" s="6"/>
      <c r="PI66" s="6"/>
      <c r="PJ66" s="6"/>
      <c r="PK66" s="6"/>
      <c r="PL66" s="6"/>
      <c r="PM66" s="6"/>
      <c r="PN66" s="6"/>
      <c r="PO66" s="6"/>
      <c r="PP66" s="6"/>
      <c r="PQ66" s="6"/>
      <c r="PR66" s="6"/>
      <c r="PS66" s="6"/>
      <c r="PT66" s="6"/>
      <c r="PU66" s="6"/>
      <c r="PV66" s="6"/>
      <c r="PW66" s="6"/>
      <c r="PX66" s="6"/>
      <c r="PY66" s="6"/>
      <c r="PZ66" s="6"/>
      <c r="QA66" s="6"/>
      <c r="QB66" s="6"/>
      <c r="QC66" s="6"/>
      <c r="QD66" s="6"/>
      <c r="QE66" s="6"/>
      <c r="QF66" s="6"/>
      <c r="QG66" s="6"/>
      <c r="QH66" s="6"/>
      <c r="QI66" s="6"/>
      <c r="QJ66" s="6"/>
      <c r="QK66" s="6"/>
      <c r="QL66" s="6"/>
      <c r="QM66" s="6"/>
      <c r="QN66" s="6"/>
      <c r="QO66" s="6"/>
      <c r="QP66" s="6"/>
      <c r="QQ66" s="6"/>
      <c r="QR66" s="6"/>
      <c r="QS66" s="6"/>
      <c r="QT66" s="6"/>
      <c r="QU66" s="6"/>
      <c r="QV66" s="6"/>
      <c r="QW66" s="6"/>
      <c r="QX66" s="6"/>
      <c r="QY66" s="6"/>
      <c r="QZ66" s="6"/>
      <c r="RA66" s="6"/>
      <c r="RB66" s="6"/>
      <c r="RC66" s="6"/>
      <c r="RD66" s="6"/>
      <c r="RE66" s="6"/>
      <c r="RF66" s="6"/>
      <c r="RG66" s="6"/>
      <c r="RH66" s="6"/>
      <c r="RI66" s="6"/>
      <c r="RJ66" s="6"/>
      <c r="RK66" s="6"/>
      <c r="RL66" s="6"/>
      <c r="RM66" s="6"/>
      <c r="RN66" s="6"/>
      <c r="RO66" s="6"/>
      <c r="RP66" s="6"/>
      <c r="RQ66" s="6"/>
      <c r="RR66" s="6"/>
      <c r="RS66" s="6"/>
      <c r="RT66" s="6"/>
      <c r="RU66" s="6"/>
      <c r="RV66" s="6"/>
      <c r="RW66" s="6"/>
      <c r="RX66" s="6"/>
      <c r="RY66" s="6"/>
      <c r="RZ66" s="6"/>
      <c r="SA66" s="6"/>
      <c r="SB66" s="6"/>
      <c r="SC66" s="6"/>
      <c r="SD66" s="6"/>
      <c r="SE66" s="6"/>
      <c r="SF66" s="6"/>
      <c r="SG66" s="6"/>
      <c r="SH66" s="6"/>
      <c r="SI66" s="6"/>
      <c r="SJ66" s="6"/>
      <c r="SK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6"/>
      <c r="HX67" s="6"/>
      <c r="HY67" s="6"/>
      <c r="HZ67" s="6"/>
      <c r="IA67" s="6"/>
      <c r="IB67" s="6"/>
      <c r="IC67" s="6"/>
      <c r="ID67" s="6"/>
      <c r="IE67" s="6"/>
      <c r="IF67" s="6"/>
      <c r="IG67" s="6"/>
      <c r="IH67" s="6"/>
      <c r="II67" s="6"/>
      <c r="IJ67" s="6"/>
      <c r="IK67" s="6"/>
      <c r="IL67" s="6"/>
      <c r="IM67" s="6"/>
      <c r="IN67" s="6"/>
      <c r="IO67" s="6"/>
      <c r="IP67" s="6"/>
      <c r="IQ67" s="6"/>
      <c r="IR67" s="6"/>
      <c r="IS67" s="6"/>
      <c r="IT67" s="6"/>
      <c r="IU67" s="6"/>
      <c r="IV67" s="6"/>
      <c r="IW67" s="6"/>
      <c r="IX67" s="6"/>
      <c r="IY67" s="6"/>
      <c r="IZ67" s="6"/>
      <c r="JA67" s="6"/>
      <c r="JB67" s="6"/>
      <c r="JC67" s="6"/>
      <c r="JD67" s="6"/>
      <c r="JE67" s="6"/>
      <c r="JF67" s="6"/>
      <c r="JG67" s="6"/>
      <c r="JH67" s="6"/>
      <c r="JI67" s="6"/>
      <c r="JJ67" s="6"/>
      <c r="JK67" s="6"/>
      <c r="JL67" s="6"/>
      <c r="JM67" s="6"/>
      <c r="JN67" s="6"/>
      <c r="JO67" s="6"/>
      <c r="JP67" s="6"/>
      <c r="JQ67" s="6"/>
      <c r="JR67" s="6"/>
      <c r="JS67" s="6"/>
      <c r="JT67" s="6"/>
      <c r="JU67" s="6"/>
      <c r="JV67" s="6"/>
      <c r="JW67" s="6"/>
      <c r="JX67" s="6"/>
      <c r="JY67" s="6"/>
      <c r="JZ67" s="6"/>
      <c r="KA67" s="6"/>
      <c r="KB67" s="6"/>
      <c r="KC67" s="6"/>
      <c r="KD67" s="6"/>
      <c r="KE67" s="6"/>
      <c r="KF67" s="6"/>
      <c r="KG67" s="6"/>
      <c r="KH67" s="6"/>
      <c r="KI67" s="6"/>
      <c r="KJ67" s="6"/>
      <c r="KK67" s="6"/>
      <c r="KL67" s="6"/>
      <c r="KM67" s="6"/>
      <c r="KN67" s="6"/>
      <c r="KO67" s="6"/>
      <c r="KP67" s="6"/>
      <c r="KQ67" s="6"/>
      <c r="KR67" s="6"/>
      <c r="KS67" s="6"/>
      <c r="KT67" s="6"/>
      <c r="KU67" s="6"/>
      <c r="KV67" s="6"/>
      <c r="KW67" s="6"/>
      <c r="KX67" s="6"/>
      <c r="KY67" s="6"/>
      <c r="KZ67" s="6"/>
      <c r="LA67" s="6"/>
      <c r="LB67" s="6"/>
      <c r="LC67" s="6"/>
      <c r="LD67" s="6"/>
      <c r="LE67" s="6"/>
      <c r="LF67" s="6"/>
      <c r="LG67" s="6"/>
      <c r="LH67" s="6"/>
      <c r="LI67" s="6"/>
      <c r="LJ67" s="6"/>
      <c r="LK67" s="6"/>
      <c r="LL67" s="6"/>
      <c r="LM67" s="6"/>
      <c r="LN67" s="6"/>
      <c r="LO67" s="6"/>
      <c r="LP67" s="6"/>
      <c r="LQ67" s="6"/>
      <c r="LR67" s="6"/>
      <c r="LS67" s="6"/>
      <c r="LT67" s="6"/>
      <c r="LU67" s="6"/>
      <c r="LV67" s="6"/>
      <c r="LW67" s="6"/>
      <c r="LX67" s="6"/>
      <c r="LY67" s="6"/>
      <c r="LZ67" s="6"/>
      <c r="MA67" s="6"/>
      <c r="MB67" s="6"/>
      <c r="MC67" s="6"/>
      <c r="MD67" s="6"/>
      <c r="ME67" s="6"/>
      <c r="MF67" s="6"/>
      <c r="MG67" s="6"/>
      <c r="MH67" s="6"/>
      <c r="MI67" s="6"/>
      <c r="MJ67" s="6"/>
      <c r="MK67" s="6"/>
      <c r="ML67" s="6"/>
      <c r="MM67" s="6"/>
      <c r="MN67" s="6"/>
      <c r="MO67" s="6"/>
      <c r="MP67" s="6"/>
      <c r="MQ67" s="6"/>
      <c r="MR67" s="6"/>
      <c r="MS67" s="6"/>
      <c r="MT67" s="6"/>
      <c r="MU67" s="6"/>
      <c r="MV67" s="6"/>
      <c r="MW67" s="6"/>
      <c r="MX67" s="6"/>
      <c r="MY67" s="6"/>
      <c r="MZ67" s="6"/>
      <c r="NA67" s="6"/>
      <c r="NB67" s="6"/>
      <c r="NC67" s="6"/>
      <c r="ND67" s="6"/>
      <c r="NE67" s="6"/>
      <c r="NF67" s="6"/>
      <c r="NG67" s="6"/>
      <c r="NH67" s="6"/>
      <c r="NI67" s="6"/>
      <c r="NJ67" s="6"/>
      <c r="NK67" s="6"/>
      <c r="NL67" s="6"/>
      <c r="NM67" s="6"/>
      <c r="NN67" s="6"/>
      <c r="NO67" s="6"/>
      <c r="NP67" s="6"/>
      <c r="NQ67" s="6"/>
      <c r="NR67" s="6"/>
      <c r="NS67" s="6"/>
      <c r="NT67" s="6"/>
      <c r="NU67" s="6"/>
      <c r="NV67" s="6"/>
      <c r="NW67" s="6"/>
      <c r="NX67" s="6"/>
      <c r="NY67" s="6"/>
      <c r="NZ67" s="6"/>
      <c r="OA67" s="6"/>
      <c r="OB67" s="6"/>
      <c r="OC67" s="6"/>
      <c r="OD67" s="6"/>
      <c r="OE67" s="6"/>
      <c r="OF67" s="6"/>
      <c r="OG67" s="6"/>
      <c r="OH67" s="6"/>
      <c r="OI67" s="6"/>
      <c r="OJ67" s="6"/>
      <c r="OK67" s="6"/>
      <c r="OL67" s="6"/>
      <c r="OM67" s="6"/>
      <c r="ON67" s="6"/>
      <c r="OO67" s="6"/>
      <c r="OP67" s="6"/>
      <c r="OQ67" s="6"/>
      <c r="OR67" s="6"/>
      <c r="OS67" s="6"/>
      <c r="OT67" s="6"/>
      <c r="OU67" s="6"/>
      <c r="OV67" s="6"/>
      <c r="OW67" s="6"/>
      <c r="OX67" s="6"/>
      <c r="OY67" s="6"/>
      <c r="OZ67" s="6"/>
      <c r="PA67" s="6"/>
      <c r="PB67" s="6"/>
      <c r="PC67" s="6"/>
      <c r="PD67" s="6"/>
      <c r="PE67" s="6"/>
      <c r="PF67" s="6"/>
      <c r="PG67" s="6"/>
      <c r="PH67" s="6"/>
      <c r="PI67" s="6"/>
      <c r="PJ67" s="6"/>
      <c r="PK67" s="6"/>
      <c r="PL67" s="6"/>
      <c r="PM67" s="6"/>
      <c r="PN67" s="6"/>
      <c r="PO67" s="6"/>
      <c r="PP67" s="6"/>
      <c r="PQ67" s="6"/>
      <c r="PR67" s="6"/>
      <c r="PS67" s="6"/>
      <c r="PT67" s="6"/>
      <c r="PU67" s="6"/>
      <c r="PV67" s="6"/>
      <c r="PW67" s="6"/>
      <c r="PX67" s="6"/>
      <c r="PY67" s="6"/>
      <c r="PZ67" s="6"/>
      <c r="QA67" s="6"/>
      <c r="QB67" s="6"/>
      <c r="QC67" s="6"/>
      <c r="QD67" s="6"/>
      <c r="QE67" s="6"/>
      <c r="QF67" s="6"/>
      <c r="QG67" s="6"/>
      <c r="QH67" s="6"/>
      <c r="QI67" s="6"/>
      <c r="QJ67" s="6"/>
      <c r="QK67" s="6"/>
      <c r="QL67" s="6"/>
      <c r="QM67" s="6"/>
      <c r="QN67" s="6"/>
      <c r="QO67" s="6"/>
      <c r="QP67" s="6"/>
      <c r="QQ67" s="6"/>
      <c r="QR67" s="6"/>
      <c r="QS67" s="6"/>
      <c r="QT67" s="6"/>
      <c r="QU67" s="6"/>
      <c r="QV67" s="6"/>
      <c r="QW67" s="6"/>
      <c r="QX67" s="6"/>
      <c r="QY67" s="6"/>
      <c r="QZ67" s="6"/>
      <c r="RA67" s="6"/>
      <c r="RB67" s="6"/>
      <c r="RC67" s="6"/>
      <c r="RD67" s="6"/>
      <c r="RE67" s="6"/>
      <c r="RF67" s="6"/>
      <c r="RG67" s="6"/>
      <c r="RH67" s="6"/>
      <c r="RI67" s="6"/>
      <c r="RJ67" s="6"/>
      <c r="RK67" s="6"/>
      <c r="RL67" s="6"/>
      <c r="RM67" s="6"/>
      <c r="RN67" s="6"/>
      <c r="RO67" s="6"/>
      <c r="RP67" s="6"/>
      <c r="RQ67" s="6"/>
      <c r="RR67" s="6"/>
      <c r="RS67" s="6"/>
      <c r="RT67" s="6"/>
      <c r="RU67" s="6"/>
      <c r="RV67" s="6"/>
      <c r="RW67" s="6"/>
      <c r="RX67" s="6"/>
      <c r="RY67" s="6"/>
      <c r="RZ67" s="6"/>
      <c r="SA67" s="6"/>
      <c r="SB67" s="6"/>
      <c r="SC67" s="6"/>
      <c r="SD67" s="6"/>
      <c r="SE67" s="6"/>
      <c r="SF67" s="6"/>
      <c r="SG67" s="6"/>
      <c r="SH67" s="6"/>
      <c r="SI67" s="6"/>
      <c r="SJ67" s="6"/>
      <c r="SK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  <c r="HY68" s="6"/>
      <c r="HZ68" s="6"/>
      <c r="IA68" s="6"/>
      <c r="IB68" s="6"/>
      <c r="IC68" s="6"/>
      <c r="ID68" s="6"/>
      <c r="IE68" s="6"/>
      <c r="IF68" s="6"/>
      <c r="IG68" s="6"/>
      <c r="IH68" s="6"/>
      <c r="II68" s="6"/>
      <c r="IJ68" s="6"/>
      <c r="IK68" s="6"/>
      <c r="IL68" s="6"/>
      <c r="IM68" s="6"/>
      <c r="IN68" s="6"/>
      <c r="IO68" s="6"/>
      <c r="IP68" s="6"/>
      <c r="IQ68" s="6"/>
      <c r="IR68" s="6"/>
      <c r="IS68" s="6"/>
      <c r="IT68" s="6"/>
      <c r="IU68" s="6"/>
      <c r="IV68" s="6"/>
      <c r="IW68" s="6"/>
      <c r="IX68" s="6"/>
      <c r="IY68" s="6"/>
      <c r="IZ68" s="6"/>
      <c r="JA68" s="6"/>
      <c r="JB68" s="6"/>
      <c r="JC68" s="6"/>
      <c r="JD68" s="6"/>
      <c r="JE68" s="6"/>
      <c r="JF68" s="6"/>
      <c r="JG68" s="6"/>
      <c r="JH68" s="6"/>
      <c r="JI68" s="6"/>
      <c r="JJ68" s="6"/>
      <c r="JK68" s="6"/>
      <c r="JL68" s="6"/>
      <c r="JM68" s="6"/>
      <c r="JN68" s="6"/>
      <c r="JO68" s="6"/>
      <c r="JP68" s="6"/>
      <c r="JQ68" s="6"/>
      <c r="JR68" s="6"/>
      <c r="JS68" s="6"/>
      <c r="JT68" s="6"/>
      <c r="JU68" s="6"/>
      <c r="JV68" s="6"/>
      <c r="JW68" s="6"/>
      <c r="JX68" s="6"/>
      <c r="JY68" s="6"/>
      <c r="JZ68" s="6"/>
      <c r="KA68" s="6"/>
      <c r="KB68" s="6"/>
      <c r="KC68" s="6"/>
      <c r="KD68" s="6"/>
      <c r="KE68" s="6"/>
      <c r="KF68" s="6"/>
      <c r="KG68" s="6"/>
      <c r="KH68" s="6"/>
      <c r="KI68" s="6"/>
      <c r="KJ68" s="6"/>
      <c r="KK68" s="6"/>
      <c r="KL68" s="6"/>
      <c r="KM68" s="6"/>
      <c r="KN68" s="6"/>
      <c r="KO68" s="6"/>
      <c r="KP68" s="6"/>
      <c r="KQ68" s="6"/>
      <c r="KR68" s="6"/>
      <c r="KS68" s="6"/>
      <c r="KT68" s="6"/>
      <c r="KU68" s="6"/>
      <c r="KV68" s="6"/>
      <c r="KW68" s="6"/>
      <c r="KX68" s="6"/>
      <c r="KY68" s="6"/>
      <c r="KZ68" s="6"/>
      <c r="LA68" s="6"/>
      <c r="LB68" s="6"/>
      <c r="LC68" s="6"/>
      <c r="LD68" s="6"/>
      <c r="LE68" s="6"/>
      <c r="LF68" s="6"/>
      <c r="LG68" s="6"/>
      <c r="LH68" s="6"/>
      <c r="LI68" s="6"/>
      <c r="LJ68" s="6"/>
      <c r="LK68" s="6"/>
      <c r="LL68" s="6"/>
      <c r="LM68" s="6"/>
      <c r="LN68" s="6"/>
      <c r="LO68" s="6"/>
      <c r="LP68" s="6"/>
      <c r="LQ68" s="6"/>
      <c r="LR68" s="6"/>
      <c r="LS68" s="6"/>
      <c r="LT68" s="6"/>
      <c r="LU68" s="6"/>
      <c r="LV68" s="6"/>
      <c r="LW68" s="6"/>
      <c r="LX68" s="6"/>
      <c r="LY68" s="6"/>
      <c r="LZ68" s="6"/>
      <c r="MA68" s="6"/>
      <c r="MB68" s="6"/>
      <c r="MC68" s="6"/>
      <c r="MD68" s="6"/>
      <c r="ME68" s="6"/>
      <c r="MF68" s="6"/>
      <c r="MG68" s="6"/>
      <c r="MH68" s="6"/>
      <c r="MI68" s="6"/>
      <c r="MJ68" s="6"/>
      <c r="MK68" s="6"/>
      <c r="ML68" s="6"/>
      <c r="MM68" s="6"/>
      <c r="MN68" s="6"/>
      <c r="MO68" s="6"/>
      <c r="MP68" s="6"/>
      <c r="MQ68" s="6"/>
      <c r="MR68" s="6"/>
      <c r="MS68" s="6"/>
      <c r="MT68" s="6"/>
      <c r="MU68" s="6"/>
      <c r="MV68" s="6"/>
      <c r="MW68" s="6"/>
      <c r="MX68" s="6"/>
      <c r="MY68" s="6"/>
      <c r="MZ68" s="6"/>
      <c r="NA68" s="6"/>
      <c r="NB68" s="6"/>
      <c r="NC68" s="6"/>
      <c r="ND68" s="6"/>
      <c r="NE68" s="6"/>
      <c r="NF68" s="6"/>
      <c r="NG68" s="6"/>
      <c r="NH68" s="6"/>
      <c r="NI68" s="6"/>
      <c r="NJ68" s="6"/>
      <c r="NK68" s="6"/>
      <c r="NL68" s="6"/>
      <c r="NM68" s="6"/>
      <c r="NN68" s="6"/>
      <c r="NO68" s="6"/>
      <c r="NP68" s="6"/>
      <c r="NQ68" s="6"/>
      <c r="NR68" s="6"/>
      <c r="NS68" s="6"/>
      <c r="NT68" s="6"/>
      <c r="NU68" s="6"/>
      <c r="NV68" s="6"/>
      <c r="NW68" s="6"/>
      <c r="NX68" s="6"/>
      <c r="NY68" s="6"/>
      <c r="NZ68" s="6"/>
      <c r="OA68" s="6"/>
      <c r="OB68" s="6"/>
      <c r="OC68" s="6"/>
      <c r="OD68" s="6"/>
      <c r="OE68" s="6"/>
      <c r="OF68" s="6"/>
      <c r="OG68" s="6"/>
      <c r="OH68" s="6"/>
      <c r="OI68" s="6"/>
      <c r="OJ68" s="6"/>
      <c r="OK68" s="6"/>
      <c r="OL68" s="6"/>
      <c r="OM68" s="6"/>
      <c r="ON68" s="6"/>
      <c r="OO68" s="6"/>
      <c r="OP68" s="6"/>
      <c r="OQ68" s="6"/>
      <c r="OR68" s="6"/>
      <c r="OS68" s="6"/>
      <c r="OT68" s="6"/>
      <c r="OU68" s="6"/>
      <c r="OV68" s="6"/>
      <c r="OW68" s="6"/>
      <c r="OX68" s="6"/>
      <c r="OY68" s="6"/>
      <c r="OZ68" s="6"/>
      <c r="PA68" s="6"/>
      <c r="PB68" s="6"/>
      <c r="PC68" s="6"/>
      <c r="PD68" s="6"/>
      <c r="PE68" s="6"/>
      <c r="PF68" s="6"/>
      <c r="PG68" s="6"/>
      <c r="PH68" s="6"/>
      <c r="PI68" s="6"/>
      <c r="PJ68" s="6"/>
      <c r="PK68" s="6"/>
      <c r="PL68" s="6"/>
      <c r="PM68" s="6"/>
      <c r="PN68" s="6"/>
      <c r="PO68" s="6"/>
      <c r="PP68" s="6"/>
      <c r="PQ68" s="6"/>
      <c r="PR68" s="6"/>
      <c r="PS68" s="6"/>
      <c r="PT68" s="6"/>
      <c r="PU68" s="6"/>
      <c r="PV68" s="6"/>
      <c r="PW68" s="6"/>
      <c r="PX68" s="6"/>
      <c r="PY68" s="6"/>
      <c r="PZ68" s="6"/>
      <c r="QA68" s="6"/>
      <c r="QB68" s="6"/>
      <c r="QC68" s="6"/>
      <c r="QD68" s="6"/>
      <c r="QE68" s="6"/>
      <c r="QF68" s="6"/>
      <c r="QG68" s="6"/>
      <c r="QH68" s="6"/>
      <c r="QI68" s="6"/>
      <c r="QJ68" s="6"/>
      <c r="QK68" s="6"/>
      <c r="QL68" s="6"/>
      <c r="QM68" s="6"/>
      <c r="QN68" s="6"/>
      <c r="QO68" s="6"/>
      <c r="QP68" s="6"/>
      <c r="QQ68" s="6"/>
      <c r="QR68" s="6"/>
      <c r="QS68" s="6"/>
      <c r="QT68" s="6"/>
      <c r="QU68" s="6"/>
      <c r="QV68" s="6"/>
      <c r="QW68" s="6"/>
      <c r="QX68" s="6"/>
      <c r="QY68" s="6"/>
      <c r="QZ68" s="6"/>
      <c r="RA68" s="6"/>
      <c r="RB68" s="6"/>
      <c r="RC68" s="6"/>
      <c r="RD68" s="6"/>
      <c r="RE68" s="6"/>
      <c r="RF68" s="6"/>
      <c r="RG68" s="6"/>
      <c r="RH68" s="6"/>
      <c r="RI68" s="6"/>
      <c r="RJ68" s="6"/>
      <c r="RK68" s="6"/>
      <c r="RL68" s="6"/>
      <c r="RM68" s="6"/>
      <c r="RN68" s="6"/>
      <c r="RO68" s="6"/>
      <c r="RP68" s="6"/>
      <c r="RQ68" s="6"/>
      <c r="RR68" s="6"/>
      <c r="RS68" s="6"/>
      <c r="RT68" s="6"/>
      <c r="RU68" s="6"/>
      <c r="RV68" s="6"/>
      <c r="RW68" s="6"/>
      <c r="RX68" s="6"/>
      <c r="RY68" s="6"/>
      <c r="RZ68" s="6"/>
      <c r="SA68" s="6"/>
      <c r="SB68" s="6"/>
      <c r="SC68" s="6"/>
      <c r="SD68" s="6"/>
      <c r="SE68" s="6"/>
      <c r="SF68" s="6"/>
      <c r="SG68" s="6"/>
      <c r="SH68" s="6"/>
      <c r="SI68" s="6"/>
      <c r="SJ68" s="6"/>
      <c r="SK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/>
      <c r="IA69" s="6"/>
      <c r="IB69" s="6"/>
      <c r="IC69" s="6"/>
      <c r="ID69" s="6"/>
      <c r="IE69" s="6"/>
      <c r="IF69" s="6"/>
      <c r="IG69" s="6"/>
      <c r="IH69" s="6"/>
      <c r="II69" s="6"/>
      <c r="IJ69" s="6"/>
      <c r="IK69" s="6"/>
      <c r="IL69" s="6"/>
      <c r="IM69" s="6"/>
      <c r="IN69" s="6"/>
      <c r="IO69" s="6"/>
      <c r="IP69" s="6"/>
      <c r="IQ69" s="6"/>
      <c r="IR69" s="6"/>
      <c r="IS69" s="6"/>
      <c r="IT69" s="6"/>
      <c r="IU69" s="6"/>
      <c r="IV69" s="6"/>
      <c r="IW69" s="6"/>
      <c r="IX69" s="6"/>
      <c r="IY69" s="6"/>
      <c r="IZ69" s="6"/>
      <c r="JA69" s="6"/>
      <c r="JB69" s="6"/>
      <c r="JC69" s="6"/>
      <c r="JD69" s="6"/>
      <c r="JE69" s="6"/>
      <c r="JF69" s="6"/>
      <c r="JG69" s="6"/>
      <c r="JH69" s="6"/>
      <c r="JI69" s="6"/>
      <c r="JJ69" s="6"/>
      <c r="JK69" s="6"/>
      <c r="JL69" s="6"/>
      <c r="JM69" s="6"/>
      <c r="JN69" s="6"/>
      <c r="JO69" s="6"/>
      <c r="JP69" s="6"/>
      <c r="JQ69" s="6"/>
      <c r="JR69" s="6"/>
      <c r="JS69" s="6"/>
      <c r="JT69" s="6"/>
      <c r="JU69" s="6"/>
      <c r="JV69" s="6"/>
      <c r="JW69" s="6"/>
      <c r="JX69" s="6"/>
      <c r="JY69" s="6"/>
      <c r="JZ69" s="6"/>
      <c r="KA69" s="6"/>
      <c r="KB69" s="6"/>
      <c r="KC69" s="6"/>
      <c r="KD69" s="6"/>
      <c r="KE69" s="6"/>
      <c r="KF69" s="6"/>
      <c r="KG69" s="6"/>
      <c r="KH69" s="6"/>
      <c r="KI69" s="6"/>
      <c r="KJ69" s="6"/>
      <c r="KK69" s="6"/>
      <c r="KL69" s="6"/>
      <c r="KM69" s="6"/>
      <c r="KN69" s="6"/>
      <c r="KO69" s="6"/>
      <c r="KP69" s="6"/>
      <c r="KQ69" s="6"/>
      <c r="KR69" s="6"/>
      <c r="KS69" s="6"/>
      <c r="KT69" s="6"/>
      <c r="KU69" s="6"/>
      <c r="KV69" s="6"/>
      <c r="KW69" s="6"/>
      <c r="KX69" s="6"/>
      <c r="KY69" s="6"/>
      <c r="KZ69" s="6"/>
      <c r="LA69" s="6"/>
      <c r="LB69" s="6"/>
      <c r="LC69" s="6"/>
      <c r="LD69" s="6"/>
      <c r="LE69" s="6"/>
      <c r="LF69" s="6"/>
      <c r="LG69" s="6"/>
      <c r="LH69" s="6"/>
      <c r="LI69" s="6"/>
      <c r="LJ69" s="6"/>
      <c r="LK69" s="6"/>
      <c r="LL69" s="6"/>
      <c r="LM69" s="6"/>
      <c r="LN69" s="6"/>
      <c r="LO69" s="6"/>
      <c r="LP69" s="6"/>
      <c r="LQ69" s="6"/>
      <c r="LR69" s="6"/>
      <c r="LS69" s="6"/>
      <c r="LT69" s="6"/>
      <c r="LU69" s="6"/>
      <c r="LV69" s="6"/>
      <c r="LW69" s="6"/>
      <c r="LX69" s="6"/>
      <c r="LY69" s="6"/>
      <c r="LZ69" s="6"/>
      <c r="MA69" s="6"/>
      <c r="MB69" s="6"/>
      <c r="MC69" s="6"/>
      <c r="MD69" s="6"/>
      <c r="ME69" s="6"/>
      <c r="MF69" s="6"/>
      <c r="MG69" s="6"/>
      <c r="MH69" s="6"/>
      <c r="MI69" s="6"/>
      <c r="MJ69" s="6"/>
      <c r="MK69" s="6"/>
      <c r="ML69" s="6"/>
      <c r="MM69" s="6"/>
      <c r="MN69" s="6"/>
      <c r="MO69" s="6"/>
      <c r="MP69" s="6"/>
      <c r="MQ69" s="6"/>
      <c r="MR69" s="6"/>
      <c r="MS69" s="6"/>
      <c r="MT69" s="6"/>
      <c r="MU69" s="6"/>
      <c r="MV69" s="6"/>
      <c r="MW69" s="6"/>
      <c r="MX69" s="6"/>
      <c r="MY69" s="6"/>
      <c r="MZ69" s="6"/>
      <c r="NA69" s="6"/>
      <c r="NB69" s="6"/>
      <c r="NC69" s="6"/>
      <c r="ND69" s="6"/>
      <c r="NE69" s="6"/>
      <c r="NF69" s="6"/>
      <c r="NG69" s="6"/>
      <c r="NH69" s="6"/>
      <c r="NI69" s="6"/>
      <c r="NJ69" s="6"/>
      <c r="NK69" s="6"/>
      <c r="NL69" s="6"/>
      <c r="NM69" s="6"/>
      <c r="NN69" s="6"/>
      <c r="NO69" s="6"/>
      <c r="NP69" s="6"/>
      <c r="NQ69" s="6"/>
      <c r="NR69" s="6"/>
      <c r="NS69" s="6"/>
      <c r="NT69" s="6"/>
      <c r="NU69" s="6"/>
      <c r="NV69" s="6"/>
      <c r="NW69" s="6"/>
      <c r="NX69" s="6"/>
      <c r="NY69" s="6"/>
      <c r="NZ69" s="6"/>
      <c r="OA69" s="6"/>
      <c r="OB69" s="6"/>
      <c r="OC69" s="6"/>
      <c r="OD69" s="6"/>
      <c r="OE69" s="6"/>
      <c r="OF69" s="6"/>
      <c r="OG69" s="6"/>
      <c r="OH69" s="6"/>
      <c r="OI69" s="6"/>
      <c r="OJ69" s="6"/>
      <c r="OK69" s="6"/>
      <c r="OL69" s="6"/>
      <c r="OM69" s="6"/>
      <c r="ON69" s="6"/>
      <c r="OO69" s="6"/>
      <c r="OP69" s="6"/>
      <c r="OQ69" s="6"/>
      <c r="OR69" s="6"/>
      <c r="OS69" s="6"/>
      <c r="OT69" s="6"/>
      <c r="OU69" s="6"/>
      <c r="OV69" s="6"/>
      <c r="OW69" s="6"/>
      <c r="OX69" s="6"/>
      <c r="OY69" s="6"/>
      <c r="OZ69" s="6"/>
      <c r="PA69" s="6"/>
      <c r="PB69" s="6"/>
      <c r="PC69" s="6"/>
      <c r="PD69" s="6"/>
      <c r="PE69" s="6"/>
      <c r="PF69" s="6"/>
      <c r="PG69" s="6"/>
      <c r="PH69" s="6"/>
      <c r="PI69" s="6"/>
      <c r="PJ69" s="6"/>
      <c r="PK69" s="6"/>
      <c r="PL69" s="6"/>
      <c r="PM69" s="6"/>
      <c r="PN69" s="6"/>
      <c r="PO69" s="6"/>
      <c r="PP69" s="6"/>
      <c r="PQ69" s="6"/>
      <c r="PR69" s="6"/>
      <c r="PS69" s="6"/>
      <c r="PT69" s="6"/>
      <c r="PU69" s="6"/>
      <c r="PV69" s="6"/>
      <c r="PW69" s="6"/>
      <c r="PX69" s="6"/>
      <c r="PY69" s="6"/>
      <c r="PZ69" s="6"/>
      <c r="QA69" s="6"/>
      <c r="QB69" s="6"/>
      <c r="QC69" s="6"/>
      <c r="QD69" s="6"/>
      <c r="QE69" s="6"/>
      <c r="QF69" s="6"/>
      <c r="QG69" s="6"/>
      <c r="QH69" s="6"/>
      <c r="QI69" s="6"/>
      <c r="QJ69" s="6"/>
      <c r="QK69" s="6"/>
      <c r="QL69" s="6"/>
      <c r="QM69" s="6"/>
      <c r="QN69" s="6"/>
      <c r="QO69" s="6"/>
      <c r="QP69" s="6"/>
      <c r="QQ69" s="6"/>
      <c r="QR69" s="6"/>
      <c r="QS69" s="6"/>
      <c r="QT69" s="6"/>
      <c r="QU69" s="6"/>
      <c r="QV69" s="6"/>
      <c r="QW69" s="6"/>
      <c r="QX69" s="6"/>
      <c r="QY69" s="6"/>
      <c r="QZ69" s="6"/>
      <c r="RA69" s="6"/>
      <c r="RB69" s="6"/>
      <c r="RC69" s="6"/>
      <c r="RD69" s="6"/>
      <c r="RE69" s="6"/>
      <c r="RF69" s="6"/>
      <c r="RG69" s="6"/>
      <c r="RH69" s="6"/>
      <c r="RI69" s="6"/>
      <c r="RJ69" s="6"/>
      <c r="RK69" s="6"/>
      <c r="RL69" s="6"/>
      <c r="RM69" s="6"/>
      <c r="RN69" s="6"/>
      <c r="RO69" s="6"/>
      <c r="RP69" s="6"/>
      <c r="RQ69" s="6"/>
      <c r="RR69" s="6"/>
      <c r="RS69" s="6"/>
      <c r="RT69" s="6"/>
      <c r="RU69" s="6"/>
      <c r="RV69" s="6"/>
      <c r="RW69" s="6"/>
      <c r="RX69" s="6"/>
      <c r="RY69" s="6"/>
      <c r="RZ69" s="6"/>
      <c r="SA69" s="6"/>
      <c r="SB69" s="6"/>
      <c r="SC69" s="6"/>
      <c r="SD69" s="6"/>
      <c r="SE69" s="6"/>
      <c r="SF69" s="6"/>
      <c r="SG69" s="6"/>
      <c r="SH69" s="6"/>
      <c r="SI69" s="6"/>
      <c r="SJ69" s="6"/>
      <c r="SK69" s="6"/>
    </row>
  </sheetData>
  <dataValidations>
    <dataValidation type="date" allowBlank="1" showInputMessage="1" showErrorMessage="1" prompt="Dato - Bruk formateringen dd.mm.åå" sqref="E2:SJ2">
      <formula1>41640.0</formula1>
      <formula2>46022.0</formula2>
    </dataValidation>
    <dataValidation type="custom" allowBlank="1" showInputMessage="1" showErrorMessage="1" prompt="Tekstfelt - Skriv en kort forklaring på transaksjonen. Maks 40 tegn!" sqref="E3:SJ3">
      <formula1>AND(GTE(LEN(E3),MIN((0),(40))),LTE(LEN(E3),MAX((0),(40))))</formula1>
    </dataValidation>
    <dataValidation type="decimal" allowBlank="1" showInputMessage="1" prompt="Kun tall! - Tast inn et beløp!" sqref="E5:SJ17 E19:SJ61">
      <formula1>-1.0E7</formula1>
      <formula2>1.0E7</formula2>
    </dataValidation>
    <dataValidation type="decimal" allowBlank="1" showInputMessage="1" showErrorMessage="1" prompt="Leverandørgjeld - Denne kontoen brukes KUN til å registrere mottatte fakturaer HVIS dere fører reskontro. Hvis ikke kostnadsføres fakturaer direkte (K 1920 / D kostnadskonto (4-8***))_x000d_" sqref="B15">
      <formula1>-100000.0</formula1>
      <formula2>100000.0</formula2>
    </dataValidation>
    <dataValidation type="decimal" allowBlank="1" showInputMessage="1" showErrorMessage="1" prompt="NB! - IB på resultatet bruken KUN hvis vi overfører mellom ulike perioder (eks. januar til februar). Dette arket har én periode og derfor ingen åpningsbalanse på resultatet. Verdien på alle kontoer på 3-8 seriene nulles ut ved hver årsavslutning." sqref="C20:C61">
      <formula1>-100000.0</formula1>
      <formula2>100000.0</formula2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0.29"/>
    <col customWidth="1" min="2" max="2" width="4.43"/>
    <col customWidth="1" min="3" max="3" width="41.29"/>
    <col customWidth="1" min="4" max="4" width="41.14"/>
    <col customWidth="1" min="5" max="5" width="3.71"/>
    <col customWidth="1" min="6" max="6" width="26.0"/>
    <col customWidth="1" min="7" max="26" width="10.71"/>
  </cols>
  <sheetData>
    <row r="1" ht="14.25" customHeight="1">
      <c r="A1" s="118"/>
      <c r="B1" s="119"/>
      <c r="C1" s="118"/>
      <c r="D1" s="118"/>
      <c r="E1" s="118"/>
      <c r="F1" s="118"/>
    </row>
    <row r="2" ht="14.25" customHeight="1">
      <c r="A2" s="118"/>
      <c r="B2" s="119"/>
      <c r="C2" s="118"/>
      <c r="D2" s="118"/>
      <c r="E2" s="118"/>
      <c r="F2" s="118"/>
    </row>
    <row r="3" ht="14.25" customHeight="1">
      <c r="A3" s="118"/>
      <c r="B3" s="120" t="s">
        <v>0</v>
      </c>
      <c r="C3" s="121"/>
      <c r="D3" s="121"/>
      <c r="E3" s="122"/>
      <c r="F3" s="118"/>
    </row>
    <row r="4" ht="14.25" customHeight="1">
      <c r="A4" s="118"/>
      <c r="B4" s="123"/>
      <c r="C4" s="124"/>
      <c r="D4" s="124"/>
      <c r="E4" s="125"/>
      <c r="F4" s="118"/>
    </row>
    <row r="5" ht="14.25" customHeight="1">
      <c r="A5" s="118"/>
      <c r="B5" s="123"/>
      <c r="C5" s="126"/>
      <c r="D5" s="127"/>
      <c r="E5" s="125"/>
      <c r="F5" s="118"/>
    </row>
    <row r="6" ht="14.25" customHeight="1">
      <c r="A6" s="118"/>
      <c r="B6" s="123"/>
      <c r="C6" s="128" t="s">
        <v>623</v>
      </c>
      <c r="D6" s="129"/>
      <c r="E6" s="125"/>
      <c r="F6" s="118"/>
    </row>
    <row r="7" ht="14.25" customHeight="1">
      <c r="A7" s="118"/>
      <c r="B7" s="123"/>
      <c r="C7" s="130"/>
      <c r="D7" s="131"/>
      <c r="E7" s="125"/>
      <c r="F7" s="118"/>
    </row>
    <row r="8" ht="14.25" customHeight="1">
      <c r="A8" s="118"/>
      <c r="B8" s="123"/>
      <c r="C8" s="132"/>
      <c r="D8" s="133"/>
      <c r="E8" s="125"/>
      <c r="F8" s="118"/>
    </row>
    <row r="9" ht="14.25" customHeight="1">
      <c r="A9" s="118"/>
      <c r="B9" s="123"/>
      <c r="C9" s="134" t="str">
        <f>Oversikt!C8</f>
        <v>Høst 2025</v>
      </c>
      <c r="D9" s="135"/>
      <c r="E9" s="125"/>
      <c r="F9" s="118"/>
    </row>
    <row r="10" ht="14.25" customHeight="1">
      <c r="A10" s="118"/>
      <c r="B10" s="123"/>
      <c r="C10" s="136"/>
      <c r="D10" s="137"/>
      <c r="E10" s="125"/>
      <c r="F10" s="118"/>
    </row>
    <row r="11" ht="14.25" customHeight="1">
      <c r="A11" s="118"/>
      <c r="B11" s="123"/>
      <c r="C11" s="138" t="s">
        <v>4</v>
      </c>
      <c r="D11" s="139"/>
      <c r="E11" s="125"/>
      <c r="F11" s="118"/>
    </row>
    <row r="12" ht="14.25" customHeight="1">
      <c r="A12" s="118"/>
      <c r="B12" s="123"/>
      <c r="C12" s="140" t="str">
        <f>Regnskap!B20</f>
        <v>3000 Salgsinntekter</v>
      </c>
      <c r="D12" s="141">
        <f>-VLOOKUP(C12,Regnskap,3,FALSE)</f>
        <v>3599.15</v>
      </c>
      <c r="E12" s="125"/>
      <c r="F12" s="118"/>
    </row>
    <row r="13" ht="14.25" customHeight="1">
      <c r="A13" s="118"/>
      <c r="B13" s="123"/>
      <c r="C13" s="142" t="str">
        <f>Regnskap!B21</f>
        <v>3100 Medlemskontingent</v>
      </c>
      <c r="D13" s="141">
        <f>-VLOOKUP(C13,Regnskap,3,FALSE)</f>
        <v>3350</v>
      </c>
      <c r="E13" s="125"/>
      <c r="F13" s="118"/>
    </row>
    <row r="14" ht="14.25" customHeight="1">
      <c r="A14" s="118"/>
      <c r="B14" s="123"/>
      <c r="C14" s="142" t="str">
        <f>Regnskap!B22</f>
        <v>3200 Billettinntekter</v>
      </c>
      <c r="D14" s="141">
        <f>-VLOOKUP(C14,Regnskap,3,FALSE)</f>
        <v>3050</v>
      </c>
      <c r="E14" s="125"/>
      <c r="F14" s="118"/>
    </row>
    <row r="15" ht="14.25" customHeight="1">
      <c r="A15" s="118"/>
      <c r="B15" s="123"/>
      <c r="C15" s="142" t="str">
        <f>Regnskap!B23</f>
        <v>3400 Støtte fra Oslostøtte</v>
      </c>
      <c r="D15" s="141">
        <f>-VLOOKUP(C15,Regnskap,3,FALSE)</f>
        <v>88686.09</v>
      </c>
      <c r="E15" s="125"/>
      <c r="F15" s="118"/>
    </row>
    <row r="16" ht="14.25" customHeight="1">
      <c r="A16" s="118"/>
      <c r="B16" s="123"/>
      <c r="C16" s="142" t="str">
        <f>Regnskap!B24</f>
        <v>3410 Støtte fra Fri Fond</v>
      </c>
      <c r="D16" s="141">
        <f>-VLOOKUP(C16,Regnskap,3,FALSE)</f>
        <v>60209.43</v>
      </c>
      <c r="E16" s="125"/>
      <c r="F16" s="118"/>
    </row>
    <row r="17" ht="14.25" customHeight="1">
      <c r="A17" s="118"/>
      <c r="B17" s="123"/>
      <c r="C17" s="142" t="str">
        <f>Regnskap!B25</f>
        <v>3420 Støtte fra annen støtteordning</v>
      </c>
      <c r="D17" s="141">
        <f>-VLOOKUP(C17,Regnskap,3,FALSE)</f>
        <v>40130.74</v>
      </c>
      <c r="E17" s="125"/>
      <c r="F17" s="118"/>
    </row>
    <row r="18" ht="14.25" customHeight="1">
      <c r="A18" s="118"/>
      <c r="B18" s="123"/>
      <c r="C18" s="143" t="str">
        <f>Regnskap!B26</f>
        <v>3900 Annen inntekt</v>
      </c>
      <c r="D18" s="141">
        <f>-VLOOKUP(C18,Regnskap,3,FALSE)</f>
        <v>2677.62</v>
      </c>
      <c r="E18" s="125"/>
      <c r="F18" s="118"/>
    </row>
    <row r="19" ht="14.25" customHeight="1">
      <c r="A19" s="118"/>
      <c r="B19" s="123"/>
      <c r="C19" s="144" t="str">
        <f>Regnskap!B27</f>
        <v>8050 Renteinntekter</v>
      </c>
      <c r="D19" s="141">
        <f>-VLOOKUP(C19,Regnskap,3,FALSE)</f>
        <v>0</v>
      </c>
      <c r="E19" s="125"/>
      <c r="F19" s="118"/>
    </row>
    <row r="20" ht="14.25" customHeight="1">
      <c r="A20" s="118"/>
      <c r="B20" s="123"/>
      <c r="C20" s="145" t="s">
        <v>7</v>
      </c>
      <c r="D20" s="146">
        <f>SUM(D12:D19)</f>
        <v>201703.03</v>
      </c>
      <c r="E20" s="125"/>
      <c r="F20" s="118"/>
    </row>
    <row r="21" ht="14.25" customHeight="1">
      <c r="A21" s="118"/>
      <c r="B21" s="123"/>
      <c r="C21" s="147"/>
      <c r="D21" s="137"/>
      <c r="E21" s="125"/>
      <c r="F21" s="118"/>
    </row>
    <row r="22" ht="14.25" customHeight="1">
      <c r="A22" s="118"/>
      <c r="B22" s="123"/>
      <c r="C22" s="138" t="s">
        <v>9</v>
      </c>
      <c r="D22" s="139"/>
      <c r="E22" s="125"/>
      <c r="F22" s="118"/>
    </row>
    <row r="23" ht="14.25" customHeight="1">
      <c r="A23" s="118"/>
      <c r="B23" s="123"/>
      <c r="C23" s="142" t="str">
        <f>Regnskap!B29</f>
        <v>4000 Varekjøp til videresalg</v>
      </c>
      <c r="D23" s="141">
        <f>VLOOKUP(C23,Regnskap,3,FALSE)</f>
        <v>4938.3</v>
      </c>
      <c r="E23" s="125"/>
      <c r="F23" s="118"/>
    </row>
    <row r="24" ht="14.25" customHeight="1">
      <c r="A24" s="118"/>
      <c r="B24" s="123"/>
      <c r="C24" s="142" t="str">
        <f>Regnskap!B30</f>
        <v>4300 Forbruk varelager</v>
      </c>
      <c r="D24" s="141">
        <f>VLOOKUP(C24,Regnskap,3,FALSE)</f>
        <v>0</v>
      </c>
      <c r="E24" s="125"/>
      <c r="F24" s="118"/>
    </row>
    <row r="25" ht="14.25" customHeight="1">
      <c r="A25" s="118"/>
      <c r="B25" s="123"/>
      <c r="C25" s="142" t="str">
        <f>Regnskap!B31</f>
        <v>4390 Beholdningsendring varer</v>
      </c>
      <c r="D25" s="141">
        <f>VLOOKUP(C25,Regnskap,3,FALSE)</f>
        <v>0</v>
      </c>
      <c r="E25" s="125"/>
      <c r="F25" s="118"/>
    </row>
    <row r="26" ht="14.25" customHeight="1">
      <c r="A26" s="118"/>
      <c r="B26" s="123"/>
      <c r="C26" s="142" t="str">
        <f>Regnskap!B32</f>
        <v>5000 Skattefritt honorar, interne</v>
      </c>
      <c r="D26" s="141">
        <f>VLOOKUP(C26,Regnskap,3,FALSE)</f>
        <v>0</v>
      </c>
      <c r="E26" s="125"/>
      <c r="F26" s="118"/>
    </row>
    <row r="27" ht="14.25" customHeight="1">
      <c r="A27" s="118"/>
      <c r="B27" s="123"/>
      <c r="C27" s="142" t="str">
        <f>Regnskap!B33</f>
        <v>5050 Skattefritt honorar, eksterne</v>
      </c>
      <c r="D27" s="141">
        <f>VLOOKUP(C27,Regnskap,3,FALSE)</f>
        <v>0</v>
      </c>
      <c r="E27" s="125"/>
      <c r="F27" s="118"/>
    </row>
    <row r="28" ht="14.25" customHeight="1">
      <c r="A28" s="118"/>
      <c r="B28" s="123"/>
      <c r="C28" s="142" t="str">
        <f>Regnskap!B34</f>
        <v>5700 Støtte til andre foreninger</v>
      </c>
      <c r="D28" s="141">
        <f>VLOOKUP(C28,Regnskap,3,FALSE)</f>
        <v>0</v>
      </c>
      <c r="E28" s="125"/>
      <c r="F28" s="118"/>
    </row>
    <row r="29" ht="14.25" customHeight="1">
      <c r="A29" s="118"/>
      <c r="B29" s="123"/>
      <c r="C29" s="142" t="str">
        <f>Regnskap!B35</f>
        <v>5900 Gaver ansatte</v>
      </c>
      <c r="D29" s="141">
        <f>VLOOKUP(C29,Regnskap,3,FALSE)</f>
        <v>0</v>
      </c>
      <c r="E29" s="125"/>
      <c r="F29" s="118"/>
    </row>
    <row r="30" ht="14.25" customHeight="1">
      <c r="A30" s="118"/>
      <c r="B30" s="123"/>
      <c r="C30" s="142" t="str">
        <f>Regnskap!B36</f>
        <v>5910 Mat og drikke til frivillige</v>
      </c>
      <c r="D30" s="141">
        <f>VLOOKUP(C30,Regnskap,3,FALSE)</f>
        <v>638</v>
      </c>
      <c r="E30" s="125"/>
      <c r="F30" s="118"/>
    </row>
    <row r="31" ht="14.25" customHeight="1">
      <c r="A31" s="118"/>
      <c r="B31" s="123"/>
      <c r="C31" s="142" t="str">
        <f>Regnskap!B37</f>
        <v>5920 Mat og drikke til styret</v>
      </c>
      <c r="D31" s="141">
        <f>VLOOKUP(C31,Regnskap,3,FALSE)</f>
        <v>2989</v>
      </c>
      <c r="E31" s="125"/>
      <c r="F31" s="118"/>
    </row>
    <row r="32" ht="14.25" customHeight="1">
      <c r="A32" s="118"/>
      <c r="B32" s="123"/>
      <c r="C32" s="142" t="str">
        <f>Regnskap!B38</f>
        <v>6300 Leie av lokaler</v>
      </c>
      <c r="D32" s="141">
        <f>VLOOKUP(C32,Regnskap,3,FALSE)</f>
        <v>0</v>
      </c>
      <c r="E32" s="125"/>
      <c r="F32" s="118"/>
    </row>
    <row r="33" ht="14.25" customHeight="1">
      <c r="A33" s="118"/>
      <c r="B33" s="123"/>
      <c r="C33" s="142" t="str">
        <f>Regnskap!B39</f>
        <v>6450 Inventar</v>
      </c>
      <c r="D33" s="141">
        <f>VLOOKUP(C33,Regnskap,3,FALSE)</f>
        <v>12656</v>
      </c>
      <c r="E33" s="125"/>
      <c r="F33" s="118"/>
    </row>
    <row r="34" ht="14.25" customHeight="1">
      <c r="A34" s="118"/>
      <c r="B34" s="123"/>
      <c r="C34" s="142" t="str">
        <f>Regnskap!B40</f>
        <v>6550 Driftsmaterialer</v>
      </c>
      <c r="D34" s="141">
        <f>VLOOKUP(C34,Regnskap,3,FALSE)</f>
        <v>0</v>
      </c>
      <c r="E34" s="125"/>
      <c r="F34" s="118"/>
    </row>
    <row r="35" ht="14.25" customHeight="1">
      <c r="A35" s="118"/>
      <c r="B35" s="123"/>
      <c r="C35" s="142" t="str">
        <f>Regnskap!B41</f>
        <v>6551 Datautstyr</v>
      </c>
      <c r="D35" s="141">
        <f>VLOOKUP(C35,Regnskap,3,FALSE)</f>
        <v>8331.94</v>
      </c>
      <c r="E35" s="125"/>
      <c r="F35" s="118"/>
    </row>
    <row r="36" ht="14.25" customHeight="1">
      <c r="A36" s="118"/>
      <c r="B36" s="123"/>
      <c r="C36" s="142" t="str">
        <f>Regnskap!B42</f>
        <v>6552 Programvarer</v>
      </c>
      <c r="D36" s="141">
        <f>VLOOKUP(C36,Regnskap,3,FALSE)</f>
        <v>1204</v>
      </c>
      <c r="E36" s="125"/>
      <c r="F36" s="118"/>
    </row>
    <row r="37" ht="14.25" customHeight="1">
      <c r="A37" s="118"/>
      <c r="B37" s="123"/>
      <c r="C37" s="142" t="str">
        <f>Regnskap!B43</f>
        <v>6560 Rekvisita</v>
      </c>
      <c r="D37" s="141">
        <f>VLOOKUP(C37,Regnskap,3,FALSE)</f>
        <v>0</v>
      </c>
      <c r="E37" s="125"/>
      <c r="F37" s="118"/>
    </row>
    <row r="38" ht="14.25" customHeight="1">
      <c r="A38" s="118"/>
      <c r="B38" s="123"/>
      <c r="C38" s="142" t="str">
        <f>Regnskap!B44</f>
        <v>6590 Annen driftskostnad</v>
      </c>
      <c r="D38" s="141">
        <f>VLOOKUP(C38,Regnskap,3,FALSE)</f>
        <v>10238</v>
      </c>
      <c r="E38" s="125"/>
      <c r="F38" s="118"/>
    </row>
    <row r="39" ht="14.25" customHeight="1">
      <c r="A39" s="118"/>
      <c r="B39" s="123"/>
      <c r="C39" s="142" t="str">
        <f>Regnskap!B45</f>
        <v>6720 Økonomiske og juridiske tjenester</v>
      </c>
      <c r="D39" s="141">
        <f>VLOOKUP(C39,Regnskap,3,FALSE)</f>
        <v>4520.44</v>
      </c>
      <c r="E39" s="125"/>
      <c r="F39" s="118"/>
    </row>
    <row r="40" ht="14.25" customHeight="1">
      <c r="A40" s="118"/>
      <c r="B40" s="123"/>
      <c r="C40" s="142" t="str">
        <f>Regnskap!B46</f>
        <v>6750 Arrangementkostnader</v>
      </c>
      <c r="D40" s="141">
        <f>VLOOKUP(C40,Regnskap,3,FALSE)</f>
        <v>26145.42</v>
      </c>
      <c r="E40" s="125"/>
      <c r="F40" s="118"/>
    </row>
    <row r="41" ht="14.25" customHeight="1">
      <c r="A41" s="118"/>
      <c r="B41" s="123"/>
      <c r="C41" s="142" t="str">
        <f>Regnskap!B47</f>
        <v>6755 Artist/underholdningshonorar</v>
      </c>
      <c r="D41" s="141">
        <f>VLOOKUP(C41,Regnskap,3,FALSE)</f>
        <v>0</v>
      </c>
      <c r="E41" s="125"/>
      <c r="F41" s="118"/>
    </row>
    <row r="42" ht="14.25" customHeight="1">
      <c r="A42" s="118"/>
      <c r="B42" s="123"/>
      <c r="C42" s="142" t="str">
        <f>Regnskap!B48</f>
        <v>6790 Andre fremmedtjenester</v>
      </c>
      <c r="D42" s="141">
        <f>VLOOKUP(C42,Regnskap,3,FALSE)</f>
        <v>8762.11</v>
      </c>
      <c r="E42" s="125"/>
      <c r="F42" s="118"/>
    </row>
    <row r="43" ht="14.25" customHeight="1">
      <c r="A43" s="118"/>
      <c r="B43" s="123"/>
      <c r="C43" s="142" t="str">
        <f>Regnskap!B49</f>
        <v>6800 Kontorrekvisita</v>
      </c>
      <c r="D43" s="141">
        <f>VLOOKUP(C43,Regnskap,3,FALSE)</f>
        <v>486.7</v>
      </c>
      <c r="E43" s="125"/>
      <c r="F43" s="118"/>
    </row>
    <row r="44" ht="14.25" customHeight="1">
      <c r="A44" s="118"/>
      <c r="B44" s="123"/>
      <c r="C44" s="142" t="str">
        <f>Regnskap!B50</f>
        <v>6815 Internett</v>
      </c>
      <c r="D44" s="141">
        <f>VLOOKUP(C44,Regnskap,3,FALSE)</f>
        <v>0</v>
      </c>
      <c r="E44" s="125"/>
      <c r="F44" s="118"/>
    </row>
    <row r="45" ht="14.25" customHeight="1">
      <c r="A45" s="118"/>
      <c r="B45" s="123"/>
      <c r="C45" s="142" t="str">
        <f>Regnskap!B51</f>
        <v>6890 Annen kontorkostnad</v>
      </c>
      <c r="D45" s="141">
        <f>VLOOKUP(C45,Regnskap,3,FALSE)</f>
        <v>0</v>
      </c>
      <c r="E45" s="125"/>
      <c r="F45" s="118"/>
    </row>
    <row r="46" ht="14.25" customHeight="1">
      <c r="A46" s="118"/>
      <c r="B46" s="123"/>
      <c r="C46" s="142" t="str">
        <f>Regnskap!B52</f>
        <v>6900 Telefon</v>
      </c>
      <c r="D46" s="141">
        <f>VLOOKUP(C46,Regnskap,3,FALSE)</f>
        <v>0</v>
      </c>
      <c r="E46" s="125"/>
      <c r="F46" s="118"/>
    </row>
    <row r="47" ht="14.25" customHeight="1">
      <c r="A47" s="118"/>
      <c r="B47" s="123"/>
      <c r="C47" s="142" t="str">
        <f>Regnskap!B53</f>
        <v>6940 Porto</v>
      </c>
      <c r="D47" s="141">
        <f>VLOOKUP(C47,Regnskap,3,FALSE)</f>
        <v>0</v>
      </c>
      <c r="E47" s="125"/>
      <c r="F47" s="118"/>
    </row>
    <row r="48" ht="14.25" customHeight="1">
      <c r="A48" s="118"/>
      <c r="B48" s="123"/>
      <c r="C48" s="142" t="str">
        <f>Regnskap!B54</f>
        <v>7100 Reisekostnad</v>
      </c>
      <c r="D48" s="141">
        <f>VLOOKUP(C48,Regnskap,3,FALSE)</f>
        <v>0</v>
      </c>
      <c r="E48" s="125"/>
      <c r="F48" s="118"/>
    </row>
    <row r="49" ht="14.25" customHeight="1">
      <c r="A49" s="118"/>
      <c r="B49" s="123"/>
      <c r="C49" s="142" t="str">
        <f>Regnskap!B55</f>
        <v>7300 Markedsføring og representasjon</v>
      </c>
      <c r="D49" s="141">
        <f>VLOOKUP(C49,Regnskap,3,FALSE)</f>
        <v>0</v>
      </c>
      <c r="E49" s="125"/>
      <c r="F49" s="118"/>
    </row>
    <row r="50" ht="14.25" customHeight="1">
      <c r="A50" s="118"/>
      <c r="B50" s="123"/>
      <c r="C50" s="142" t="str">
        <f>Regnskap!B56</f>
        <v>7600 Lisensavgift og royalties</v>
      </c>
      <c r="D50" s="141">
        <f>VLOOKUP(C50,Regnskap,3,FALSE)</f>
        <v>0</v>
      </c>
      <c r="E50" s="125"/>
      <c r="F50" s="118"/>
    </row>
    <row r="51" ht="14.25" customHeight="1">
      <c r="A51" s="118"/>
      <c r="B51" s="123"/>
      <c r="C51" s="142" t="str">
        <f>Regnskap!B57</f>
        <v>7740 Øredifferanse</v>
      </c>
      <c r="D51" s="141">
        <f>VLOOKUP(C51,Regnskap,3,FALSE)</f>
        <v>0</v>
      </c>
      <c r="E51" s="125"/>
      <c r="F51" s="118"/>
    </row>
    <row r="52" ht="14.25" customHeight="1">
      <c r="A52" s="118"/>
      <c r="B52" s="123"/>
      <c r="C52" s="142" t="str">
        <f>Regnskap!B58</f>
        <v>7770 Bank og kortgebyrer</v>
      </c>
      <c r="D52" s="141">
        <f>VLOOKUP(C52,Regnskap,3,FALSE)</f>
        <v>553</v>
      </c>
      <c r="E52" s="125"/>
      <c r="F52" s="118"/>
    </row>
    <row r="53" ht="14.25" customHeight="1">
      <c r="A53" s="118"/>
      <c r="B53" s="123"/>
      <c r="C53" s="142" t="str">
        <f>Regnskap!B59</f>
        <v>7790 Annen kostnad, fradragsberettiget</v>
      </c>
      <c r="D53" s="141">
        <f>VLOOKUP(C53,Regnskap,3,FALSE)</f>
        <v>0</v>
      </c>
      <c r="E53" s="125"/>
      <c r="F53" s="118"/>
    </row>
    <row r="54" ht="14.25" customHeight="1">
      <c r="A54" s="118"/>
      <c r="B54" s="123"/>
      <c r="C54" s="142" t="str">
        <f>Regnskap!B60</f>
        <v>8150 Rentekostnader</v>
      </c>
      <c r="D54" s="141">
        <f>VLOOKUP(C54,Regnskap,3,FALSE)</f>
        <v>0</v>
      </c>
      <c r="E54" s="125"/>
      <c r="F54" s="118"/>
    </row>
    <row r="55" ht="14.25" customHeight="1">
      <c r="A55" s="118"/>
      <c r="B55" s="123"/>
      <c r="C55" s="148" t="s">
        <v>624</v>
      </c>
      <c r="D55" s="149">
        <f>SUM(D23:D54)</f>
        <v>81462.91</v>
      </c>
      <c r="E55" s="125"/>
      <c r="F55" s="118"/>
    </row>
    <row r="56" ht="14.25" customHeight="1">
      <c r="A56" s="118"/>
      <c r="B56" s="123"/>
      <c r="C56" s="150"/>
      <c r="D56" s="151"/>
      <c r="E56" s="125"/>
      <c r="F56" s="118"/>
    </row>
    <row r="57" ht="14.25" customHeight="1">
      <c r="A57" s="118"/>
      <c r="B57" s="123"/>
      <c r="C57" s="152" t="s">
        <v>12</v>
      </c>
      <c r="D57" s="153">
        <f>D20-D55</f>
        <v>120240.12</v>
      </c>
      <c r="E57" s="125"/>
      <c r="F57" s="118"/>
    </row>
    <row r="58" ht="14.25" customHeight="1">
      <c r="A58" s="118"/>
      <c r="B58" s="123"/>
      <c r="C58" s="154"/>
      <c r="D58" s="155"/>
      <c r="E58" s="125"/>
      <c r="F58" s="118"/>
    </row>
    <row r="59" ht="14.25" customHeight="1">
      <c r="A59" s="118"/>
      <c r="B59" s="156"/>
      <c r="C59" s="157"/>
      <c r="D59" s="157"/>
      <c r="E59" s="158"/>
      <c r="F59" s="118"/>
    </row>
    <row r="60" ht="14.25" customHeight="1">
      <c r="A60" s="118"/>
      <c r="B60" s="118"/>
      <c r="C60" s="118"/>
      <c r="D60" s="118"/>
      <c r="E60" s="118"/>
      <c r="F60" s="118"/>
    </row>
    <row r="61" ht="14.25" customHeight="1">
      <c r="A61" s="118"/>
      <c r="B61" s="118"/>
      <c r="C61" s="118"/>
      <c r="D61" s="118"/>
      <c r="E61" s="118"/>
      <c r="F61" s="118"/>
    </row>
    <row r="62" ht="14.25" customHeight="1">
      <c r="A62" s="118"/>
      <c r="B62" s="118"/>
      <c r="C62" s="118"/>
      <c r="D62" s="118"/>
      <c r="E62" s="118"/>
      <c r="F62" s="118"/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C6:D6"/>
    <mergeCell ref="C9:D10"/>
    <mergeCell ref="C21:D21"/>
    <mergeCell ref="C56:D56"/>
    <mergeCell ref="C57:C58"/>
    <mergeCell ref="D57:D58"/>
  </mergeCells>
  <conditionalFormatting sqref="D57:D58">
    <cfRule type="cellIs" dxfId="0" priority="1" operator="lessThan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3.43"/>
    <col customWidth="1" min="3" max="3" width="39.71"/>
    <col customWidth="1" min="4" max="4" width="20.43"/>
    <col customWidth="1" min="5" max="5" width="16.0"/>
    <col customWidth="1" min="6" max="6" width="33.43"/>
    <col customWidth="1" min="7" max="7" width="3.29"/>
    <col customWidth="1" min="8" max="8" width="8.71"/>
    <col customWidth="1" min="9" max="26" width="10.71"/>
  </cols>
  <sheetData>
    <row r="1" ht="14.25" customHeight="1">
      <c r="A1" s="118"/>
      <c r="B1" s="119"/>
      <c r="C1" s="118"/>
      <c r="D1" s="118"/>
      <c r="E1" s="118"/>
      <c r="F1" s="118"/>
      <c r="G1" s="118"/>
      <c r="H1" s="118"/>
    </row>
    <row r="2" ht="14.25" customHeight="1">
      <c r="A2" s="118"/>
      <c r="B2" s="119"/>
      <c r="C2" s="118"/>
      <c r="D2" s="118"/>
      <c r="E2" s="118"/>
      <c r="F2" s="118"/>
      <c r="G2" s="118"/>
      <c r="H2" s="118"/>
    </row>
    <row r="3" ht="21.0" customHeight="1">
      <c r="A3" s="118"/>
      <c r="B3" s="159" t="s">
        <v>0</v>
      </c>
      <c r="C3" s="121"/>
      <c r="D3" s="121"/>
      <c r="E3" s="121"/>
      <c r="F3" s="121"/>
      <c r="G3" s="122"/>
      <c r="H3" s="118"/>
    </row>
    <row r="4" ht="21.0" customHeight="1">
      <c r="A4" s="118"/>
      <c r="B4" s="123"/>
      <c r="C4" s="160" t="s">
        <v>625</v>
      </c>
      <c r="D4" s="161"/>
      <c r="E4" s="161"/>
      <c r="F4" s="162"/>
      <c r="G4" s="125"/>
      <c r="H4" s="118"/>
    </row>
    <row r="5" ht="21.0" customHeight="1">
      <c r="A5" s="118"/>
      <c r="B5" s="123"/>
      <c r="C5" s="13"/>
      <c r="F5" s="163"/>
      <c r="G5" s="125"/>
      <c r="H5" s="118"/>
    </row>
    <row r="6" ht="21.0" customHeight="1">
      <c r="A6" s="118"/>
      <c r="B6" s="123"/>
      <c r="C6" s="13"/>
      <c r="F6" s="163"/>
      <c r="G6" s="125"/>
      <c r="H6" s="118"/>
    </row>
    <row r="7" ht="15.0" customHeight="1">
      <c r="A7" s="118"/>
      <c r="B7" s="123"/>
      <c r="C7" s="164"/>
      <c r="D7" s="165"/>
      <c r="E7" s="165"/>
      <c r="F7" s="166"/>
      <c r="G7" s="125"/>
      <c r="H7" s="118"/>
    </row>
    <row r="8" ht="7.5" customHeight="1">
      <c r="A8" s="118"/>
      <c r="B8" s="123"/>
      <c r="C8" s="124"/>
      <c r="D8" s="124"/>
      <c r="E8" s="124"/>
      <c r="F8" s="124"/>
      <c r="G8" s="125"/>
      <c r="H8" s="118"/>
    </row>
    <row r="9" ht="15.0" customHeight="1">
      <c r="A9" s="118"/>
      <c r="B9" s="123"/>
      <c r="C9" s="167"/>
      <c r="D9" s="168"/>
      <c r="E9" s="168"/>
      <c r="F9" s="169"/>
      <c r="G9" s="125"/>
      <c r="H9" s="118"/>
    </row>
    <row r="10" ht="15.0" customHeight="1">
      <c r="A10" s="118"/>
      <c r="B10" s="123"/>
      <c r="C10" s="170"/>
      <c r="D10" s="171"/>
      <c r="E10" s="171"/>
      <c r="F10" s="172"/>
      <c r="G10" s="125"/>
      <c r="H10" s="118"/>
    </row>
    <row r="11" ht="14.25" customHeight="1">
      <c r="A11" s="118"/>
      <c r="B11" s="123"/>
      <c r="C11" s="173" t="s">
        <v>4</v>
      </c>
      <c r="D11" s="174" t="str">
        <f>Oversikt!$C$8</f>
        <v>Høst 2025</v>
      </c>
      <c r="E11" s="175" t="s">
        <v>626</v>
      </c>
      <c r="F11" s="174" t="s">
        <v>627</v>
      </c>
      <c r="G11" s="125"/>
      <c r="H11" s="118"/>
    </row>
    <row r="12" ht="14.25" customHeight="1">
      <c r="A12" s="118"/>
      <c r="B12" s="123"/>
      <c r="C12" s="104" t="str">
        <f>Regnskap!B20</f>
        <v>3000 Salgsinntekter</v>
      </c>
      <c r="D12" s="38">
        <f>-VLOOKUP(C12,Regnskap,3,FALSE)</f>
        <v>3599.15</v>
      </c>
      <c r="E12" s="87">
        <v>2500.0</v>
      </c>
      <c r="F12" s="176"/>
      <c r="G12" s="125"/>
      <c r="H12" s="118"/>
    </row>
    <row r="13" ht="14.25" customHeight="1">
      <c r="A13" s="118"/>
      <c r="B13" s="123"/>
      <c r="C13" s="105" t="str">
        <f>Regnskap!B21</f>
        <v>3100 Medlemskontingent</v>
      </c>
      <c r="D13" s="31">
        <f>-VLOOKUP(C13,Regnskap,3,FALSE)</f>
        <v>3350</v>
      </c>
      <c r="E13" s="83">
        <v>6000.0</v>
      </c>
      <c r="F13" s="177"/>
      <c r="G13" s="125"/>
      <c r="H13" s="118"/>
    </row>
    <row r="14" ht="14.25" customHeight="1">
      <c r="A14" s="118"/>
      <c r="B14" s="123"/>
      <c r="C14" s="105" t="str">
        <f>Regnskap!B22</f>
        <v>3200 Billettinntekter</v>
      </c>
      <c r="D14" s="31">
        <f>-VLOOKUP(C14,Regnskap,3,FALSE)</f>
        <v>3050</v>
      </c>
      <c r="E14" s="83">
        <v>2500.0</v>
      </c>
      <c r="F14" s="177"/>
      <c r="G14" s="125"/>
      <c r="H14" s="118"/>
    </row>
    <row r="15" ht="14.25" customHeight="1">
      <c r="A15" s="118"/>
      <c r="B15" s="123"/>
      <c r="C15" s="105" t="str">
        <f>Regnskap!B23</f>
        <v>3400 Støtte fra Oslostøtte</v>
      </c>
      <c r="D15" s="31">
        <f>-VLOOKUP(C15,Regnskap,3,FALSE)</f>
        <v>88686.09</v>
      </c>
      <c r="E15" s="83">
        <v>0.0</v>
      </c>
      <c r="F15" s="178" t="s">
        <v>628</v>
      </c>
      <c r="G15" s="125"/>
      <c r="H15" s="118"/>
    </row>
    <row r="16" ht="14.25" customHeight="1">
      <c r="A16" s="118"/>
      <c r="B16" s="123"/>
      <c r="C16" s="105" t="str">
        <f>Regnskap!B24</f>
        <v>3410 Støtte fra Fri Fond</v>
      </c>
      <c r="D16" s="31">
        <f>-VLOOKUP(C16,Regnskap,3,FALSE)</f>
        <v>60209.43</v>
      </c>
      <c r="E16" s="83">
        <v>0.0</v>
      </c>
      <c r="F16" s="177"/>
      <c r="G16" s="125"/>
      <c r="H16" s="118"/>
    </row>
    <row r="17" ht="14.25" customHeight="1">
      <c r="A17" s="118"/>
      <c r="B17" s="123"/>
      <c r="C17" s="105" t="str">
        <f>Regnskap!B25</f>
        <v>3420 Støtte fra annen støtteordning</v>
      </c>
      <c r="D17" s="31">
        <f>-VLOOKUP(C17,Regnskap,3,FALSE)</f>
        <v>40130.74</v>
      </c>
      <c r="E17" s="83">
        <v>0.0</v>
      </c>
      <c r="F17" s="177"/>
      <c r="G17" s="125"/>
      <c r="H17" s="118"/>
    </row>
    <row r="18" ht="14.25" customHeight="1">
      <c r="A18" s="118"/>
      <c r="B18" s="123"/>
      <c r="C18" s="107" t="str">
        <f>Regnskap!B26</f>
        <v>3900 Annen inntekt</v>
      </c>
      <c r="D18" s="31">
        <f>-VLOOKUP(C18,Regnskap,3,FALSE)</f>
        <v>2677.62</v>
      </c>
      <c r="E18" s="83">
        <v>0.0</v>
      </c>
      <c r="F18" s="178" t="s">
        <v>629</v>
      </c>
      <c r="G18" s="125"/>
      <c r="H18" s="118"/>
    </row>
    <row r="19" ht="14.25" customHeight="1">
      <c r="A19" s="118"/>
      <c r="B19" s="123"/>
      <c r="C19" s="107" t="str">
        <f>Regnskap!B27</f>
        <v>8050 Renteinntekter</v>
      </c>
      <c r="D19" s="31">
        <f>-VLOOKUP(C19,Regnskap,3,FALSE)</f>
        <v>0</v>
      </c>
      <c r="E19" s="31"/>
      <c r="F19" s="177"/>
      <c r="G19" s="125"/>
      <c r="H19" s="118"/>
    </row>
    <row r="20" ht="14.25" customHeight="1">
      <c r="A20" s="118"/>
      <c r="B20" s="123"/>
      <c r="C20" s="179" t="s">
        <v>7</v>
      </c>
      <c r="D20" s="180">
        <f t="shared" ref="D20:E20" si="1">SUM(D12:D19)</f>
        <v>201703.03</v>
      </c>
      <c r="E20" s="180">
        <f t="shared" si="1"/>
        <v>11000</v>
      </c>
      <c r="F20" s="181"/>
      <c r="G20" s="125"/>
      <c r="H20" s="118"/>
    </row>
    <row r="21" ht="14.25" customHeight="1">
      <c r="A21" s="118"/>
      <c r="B21" s="123"/>
      <c r="C21" s="182"/>
      <c r="D21" s="183"/>
      <c r="E21" s="184"/>
      <c r="F21" s="185"/>
      <c r="G21" s="125"/>
      <c r="H21" s="118"/>
    </row>
    <row r="22" ht="14.25" customHeight="1">
      <c r="A22" s="118"/>
      <c r="B22" s="123"/>
      <c r="C22" s="173" t="s">
        <v>9</v>
      </c>
      <c r="D22" s="174" t="str">
        <f t="shared" ref="D22:E22" si="2">D11</f>
        <v>Høst 2025</v>
      </c>
      <c r="E22" s="174" t="str">
        <f t="shared" si="2"/>
        <v>Vår 2026</v>
      </c>
      <c r="F22" s="174" t="s">
        <v>627</v>
      </c>
      <c r="G22" s="125"/>
      <c r="H22" s="118"/>
    </row>
    <row r="23" ht="14.25" customHeight="1">
      <c r="A23" s="118"/>
      <c r="B23" s="123"/>
      <c r="C23" s="37" t="str">
        <f>Regnskap!B29</f>
        <v>4000 Varekjøp til videresalg</v>
      </c>
      <c r="D23" s="31">
        <f>VLOOKUP(C23,Regnskap,3,FALSE)</f>
        <v>4938.3</v>
      </c>
      <c r="E23" s="83">
        <v>5000.0</v>
      </c>
      <c r="F23" s="178"/>
      <c r="G23" s="125"/>
      <c r="H23" s="118"/>
    </row>
    <row r="24" ht="14.25" customHeight="1">
      <c r="A24" s="118"/>
      <c r="B24" s="123"/>
      <c r="C24" s="39" t="str">
        <f>Regnskap!B30</f>
        <v>4300 Forbruk varelager</v>
      </c>
      <c r="D24" s="31">
        <f>VLOOKUP(C24,Regnskap,3,FALSE)</f>
        <v>0</v>
      </c>
      <c r="E24" s="31"/>
      <c r="F24" s="177"/>
      <c r="G24" s="125"/>
      <c r="H24" s="118"/>
    </row>
    <row r="25" ht="14.25" customHeight="1">
      <c r="A25" s="118"/>
      <c r="B25" s="123"/>
      <c r="C25" s="30" t="str">
        <f>Regnskap!B31</f>
        <v>4390 Beholdningsendring varer</v>
      </c>
      <c r="D25" s="31">
        <f>VLOOKUP(C25,Regnskap,3,FALSE)</f>
        <v>0</v>
      </c>
      <c r="E25" s="31"/>
      <c r="F25" s="177"/>
      <c r="G25" s="125"/>
      <c r="H25" s="118"/>
    </row>
    <row r="26" ht="14.25" customHeight="1">
      <c r="A26" s="118"/>
      <c r="B26" s="123"/>
      <c r="C26" s="30" t="str">
        <f>Regnskap!B32</f>
        <v>5000 Skattefritt honorar, interne</v>
      </c>
      <c r="D26" s="31">
        <f>VLOOKUP(C26,Regnskap,3,FALSE)</f>
        <v>0</v>
      </c>
      <c r="E26" s="31"/>
      <c r="F26" s="177"/>
      <c r="G26" s="125"/>
      <c r="H26" s="118"/>
    </row>
    <row r="27" ht="14.25" customHeight="1">
      <c r="A27" s="118"/>
      <c r="B27" s="123"/>
      <c r="C27" s="30" t="str">
        <f>Regnskap!B33</f>
        <v>5050 Skattefritt honorar, eksterne</v>
      </c>
      <c r="D27" s="31">
        <f>VLOOKUP(C27,Regnskap,3,FALSE)</f>
        <v>0</v>
      </c>
      <c r="E27" s="31"/>
      <c r="F27" s="177"/>
      <c r="G27" s="125"/>
      <c r="H27" s="118"/>
    </row>
    <row r="28" ht="14.25" customHeight="1">
      <c r="A28" s="118"/>
      <c r="B28" s="123"/>
      <c r="C28" s="30" t="str">
        <f>Regnskap!B34</f>
        <v>5700 Støtte til andre foreninger</v>
      </c>
      <c r="D28" s="31">
        <f>VLOOKUP(C28,Regnskap,3,FALSE)</f>
        <v>0</v>
      </c>
      <c r="E28" s="31"/>
      <c r="F28" s="177"/>
      <c r="G28" s="125"/>
      <c r="H28" s="118"/>
    </row>
    <row r="29" ht="14.25" customHeight="1">
      <c r="A29" s="118"/>
      <c r="B29" s="123"/>
      <c r="C29" s="30" t="str">
        <f>Regnskap!B35</f>
        <v>5900 Gaver ansatte</v>
      </c>
      <c r="D29" s="31">
        <f>VLOOKUP(C29,Regnskap,3,FALSE)</f>
        <v>0</v>
      </c>
      <c r="E29" s="31"/>
      <c r="F29" s="177"/>
      <c r="G29" s="125"/>
      <c r="H29" s="118"/>
    </row>
    <row r="30" ht="14.25" customHeight="1">
      <c r="A30" s="118"/>
      <c r="B30" s="123"/>
      <c r="C30" s="30" t="str">
        <f>Regnskap!B36</f>
        <v>5910 Mat og drikke til frivillige</v>
      </c>
      <c r="D30" s="31">
        <f>VLOOKUP(C30,Regnskap,3,FALSE)</f>
        <v>638</v>
      </c>
      <c r="E30" s="83">
        <v>1300.0</v>
      </c>
      <c r="F30" s="178" t="s">
        <v>630</v>
      </c>
      <c r="G30" s="125"/>
      <c r="H30" s="118"/>
    </row>
    <row r="31" ht="14.25" customHeight="1">
      <c r="A31" s="118"/>
      <c r="B31" s="123"/>
      <c r="C31" s="30" t="str">
        <f>Regnskap!B37</f>
        <v>5920 Mat og drikke til styret</v>
      </c>
      <c r="D31" s="31">
        <f>VLOOKUP(C31,Regnskap,3,FALSE)</f>
        <v>2989</v>
      </c>
      <c r="E31" s="83">
        <v>3000.0</v>
      </c>
      <c r="F31" s="177"/>
      <c r="G31" s="125"/>
      <c r="H31" s="118"/>
    </row>
    <row r="32" ht="14.25" customHeight="1">
      <c r="A32" s="118"/>
      <c r="B32" s="123"/>
      <c r="C32" s="30" t="str">
        <f>Regnskap!B38</f>
        <v>6300 Leie av lokaler</v>
      </c>
      <c r="D32" s="31">
        <f>VLOOKUP(C32,Regnskap,3,FALSE)</f>
        <v>0</v>
      </c>
      <c r="E32" s="31"/>
      <c r="F32" s="177"/>
      <c r="G32" s="125"/>
      <c r="H32" s="118"/>
    </row>
    <row r="33" ht="14.25" customHeight="1">
      <c r="A33" s="118"/>
      <c r="B33" s="123"/>
      <c r="C33" s="30" t="str">
        <f>Regnskap!B39</f>
        <v>6450 Inventar</v>
      </c>
      <c r="D33" s="31">
        <f>VLOOKUP(C33,Regnskap,3,FALSE)</f>
        <v>12656</v>
      </c>
      <c r="E33" s="83">
        <v>20000.0</v>
      </c>
      <c r="F33" s="178" t="s">
        <v>631</v>
      </c>
      <c r="G33" s="125"/>
      <c r="H33" s="118"/>
    </row>
    <row r="34" ht="14.25" customHeight="1">
      <c r="A34" s="118"/>
      <c r="B34" s="123"/>
      <c r="C34" s="30" t="str">
        <f>Regnskap!B40</f>
        <v>6550 Driftsmaterialer</v>
      </c>
      <c r="D34" s="31">
        <f>VLOOKUP(C34,Regnskap,3,FALSE)</f>
        <v>0</v>
      </c>
      <c r="E34" s="31"/>
      <c r="F34" s="177"/>
      <c r="G34" s="125"/>
      <c r="H34" s="118"/>
    </row>
    <row r="35" ht="14.25" customHeight="1">
      <c r="A35" s="118"/>
      <c r="B35" s="123"/>
      <c r="C35" s="30" t="str">
        <f>Regnskap!B41</f>
        <v>6551 Datautstyr</v>
      </c>
      <c r="D35" s="31">
        <f>VLOOKUP(C35,Regnskap,3,FALSE)</f>
        <v>8331.94</v>
      </c>
      <c r="E35" s="83">
        <v>7500.0</v>
      </c>
      <c r="F35" s="178" t="s">
        <v>632</v>
      </c>
      <c r="G35" s="125"/>
      <c r="H35" s="118"/>
    </row>
    <row r="36" ht="14.25" customHeight="1">
      <c r="A36" s="118"/>
      <c r="B36" s="123"/>
      <c r="C36" s="30" t="str">
        <f>Regnskap!B42</f>
        <v>6552 Programvarer</v>
      </c>
      <c r="D36" s="31">
        <f>VLOOKUP(C36,Regnskap,3,FALSE)</f>
        <v>1204</v>
      </c>
      <c r="E36" s="83">
        <v>3600.0</v>
      </c>
      <c r="F36" s="178" t="s">
        <v>633</v>
      </c>
      <c r="G36" s="125"/>
      <c r="H36" s="118"/>
    </row>
    <row r="37" ht="14.25" customHeight="1">
      <c r="A37" s="118"/>
      <c r="B37" s="123"/>
      <c r="C37" s="30" t="str">
        <f>Regnskap!B43</f>
        <v>6560 Rekvisita</v>
      </c>
      <c r="D37" s="31">
        <f>VLOOKUP(C37,Regnskap,3,FALSE)</f>
        <v>0</v>
      </c>
      <c r="E37" s="31"/>
      <c r="F37" s="177"/>
      <c r="G37" s="125"/>
      <c r="H37" s="118"/>
    </row>
    <row r="38" ht="14.25" customHeight="1">
      <c r="A38" s="118"/>
      <c r="B38" s="123"/>
      <c r="C38" s="30" t="str">
        <f>Regnskap!B44</f>
        <v>6590 Annen driftskostnad</v>
      </c>
      <c r="D38" s="31">
        <f>VLOOKUP(C38,Regnskap,3,FALSE)</f>
        <v>10238</v>
      </c>
      <c r="E38" s="83">
        <v>1000.0</v>
      </c>
      <c r="F38" s="177"/>
      <c r="G38" s="125"/>
      <c r="H38" s="118"/>
    </row>
    <row r="39" ht="14.25" customHeight="1">
      <c r="A39" s="118"/>
      <c r="B39" s="123"/>
      <c r="C39" s="30" t="str">
        <f>Regnskap!B45</f>
        <v>6720 Økonomiske og juridiske tjenester</v>
      </c>
      <c r="D39" s="31">
        <f>VLOOKUP(C39,Regnskap,3,FALSE)</f>
        <v>4520.44</v>
      </c>
      <c r="E39" s="83">
        <v>0.0</v>
      </c>
      <c r="F39" s="178" t="s">
        <v>634</v>
      </c>
      <c r="G39" s="125"/>
      <c r="H39" s="118"/>
    </row>
    <row r="40" ht="14.25" customHeight="1">
      <c r="A40" s="118"/>
      <c r="B40" s="123"/>
      <c r="C40" s="30" t="str">
        <f>Regnskap!B46</f>
        <v>6750 Arrangementkostnader</v>
      </c>
      <c r="D40" s="31">
        <f>VLOOKUP(C40,Regnskap,3,FALSE)</f>
        <v>26145.42</v>
      </c>
      <c r="E40" s="83">
        <v>27500.0</v>
      </c>
      <c r="F40" s="177"/>
      <c r="G40" s="125"/>
      <c r="H40" s="118"/>
    </row>
    <row r="41" ht="14.25" customHeight="1">
      <c r="A41" s="118"/>
      <c r="B41" s="123"/>
      <c r="C41" s="30" t="str">
        <f>Regnskap!B47</f>
        <v>6755 Artist/underholdningshonorar</v>
      </c>
      <c r="D41" s="31">
        <f>VLOOKUP(C41,Regnskap,3,FALSE)</f>
        <v>0</v>
      </c>
      <c r="E41" s="31"/>
      <c r="F41" s="177"/>
      <c r="G41" s="125"/>
      <c r="H41" s="118"/>
    </row>
    <row r="42" ht="14.25" customHeight="1">
      <c r="A42" s="118"/>
      <c r="B42" s="123"/>
      <c r="C42" s="30" t="str">
        <f>Regnskap!B48</f>
        <v>6790 Andre fremmedtjenester</v>
      </c>
      <c r="D42" s="31">
        <f>VLOOKUP(C42,Regnskap,3,FALSE)</f>
        <v>8762.11</v>
      </c>
      <c r="E42" s="83">
        <v>5000.0</v>
      </c>
      <c r="F42" s="177"/>
      <c r="G42" s="125"/>
      <c r="H42" s="118"/>
    </row>
    <row r="43" ht="14.25" customHeight="1">
      <c r="A43" s="118"/>
      <c r="B43" s="123"/>
      <c r="C43" s="30" t="str">
        <f>Regnskap!B49</f>
        <v>6800 Kontorrekvisita</v>
      </c>
      <c r="D43" s="31">
        <f>VLOOKUP(C43,Regnskap,3,FALSE)</f>
        <v>486.7</v>
      </c>
      <c r="E43" s="83">
        <v>30000.0</v>
      </c>
      <c r="F43" s="178" t="s">
        <v>635</v>
      </c>
      <c r="G43" s="125"/>
      <c r="H43" s="118"/>
    </row>
    <row r="44" ht="14.25" customHeight="1">
      <c r="A44" s="118"/>
      <c r="B44" s="123"/>
      <c r="C44" s="30" t="str">
        <f>Regnskap!B50</f>
        <v>6815 Internett</v>
      </c>
      <c r="D44" s="31">
        <f>VLOOKUP(C44,Regnskap,3,FALSE)</f>
        <v>0</v>
      </c>
      <c r="E44" s="31"/>
      <c r="F44" s="177"/>
      <c r="G44" s="125"/>
      <c r="H44" s="118"/>
    </row>
    <row r="45" ht="14.25" customHeight="1">
      <c r="A45" s="118"/>
      <c r="B45" s="123"/>
      <c r="C45" s="30" t="str">
        <f>Regnskap!B51</f>
        <v>6890 Annen kontorkostnad</v>
      </c>
      <c r="D45" s="31">
        <f>VLOOKUP(C45,Regnskap,3,FALSE)</f>
        <v>0</v>
      </c>
      <c r="E45" s="31"/>
      <c r="F45" s="177"/>
      <c r="G45" s="125"/>
      <c r="H45" s="118"/>
    </row>
    <row r="46" ht="14.25" customHeight="1">
      <c r="A46" s="118"/>
      <c r="B46" s="123"/>
      <c r="C46" s="30" t="str">
        <f>Regnskap!B52</f>
        <v>6900 Telefon</v>
      </c>
      <c r="D46" s="31">
        <f>VLOOKUP(C46,Regnskap,3,FALSE)</f>
        <v>0</v>
      </c>
      <c r="E46" s="31"/>
      <c r="F46" s="177"/>
      <c r="G46" s="125"/>
      <c r="H46" s="118"/>
    </row>
    <row r="47" ht="14.25" customHeight="1">
      <c r="A47" s="118"/>
      <c r="B47" s="123"/>
      <c r="C47" s="30" t="str">
        <f>Regnskap!B53</f>
        <v>6940 Porto</v>
      </c>
      <c r="D47" s="31">
        <f>VLOOKUP(C47,Regnskap,3,FALSE)</f>
        <v>0</v>
      </c>
      <c r="E47" s="31"/>
      <c r="F47" s="177"/>
      <c r="G47" s="125"/>
      <c r="H47" s="118"/>
    </row>
    <row r="48" ht="14.25" customHeight="1">
      <c r="A48" s="118"/>
      <c r="B48" s="123"/>
      <c r="C48" s="30" t="str">
        <f>Regnskap!B54</f>
        <v>7100 Reisekostnad</v>
      </c>
      <c r="D48" s="31">
        <f>VLOOKUP(C48,Regnskap,3,FALSE)</f>
        <v>0</v>
      </c>
      <c r="E48" s="31"/>
      <c r="F48" s="177"/>
      <c r="G48" s="125"/>
      <c r="H48" s="118"/>
    </row>
    <row r="49" ht="14.25" customHeight="1">
      <c r="A49" s="118"/>
      <c r="B49" s="123"/>
      <c r="C49" s="30" t="str">
        <f>Regnskap!B55</f>
        <v>7300 Markedsføring og representasjon</v>
      </c>
      <c r="D49" s="31">
        <f>VLOOKUP(C49,Regnskap,3,FALSE)</f>
        <v>0</v>
      </c>
      <c r="E49" s="31"/>
      <c r="F49" s="177"/>
      <c r="G49" s="125"/>
      <c r="H49" s="118"/>
    </row>
    <row r="50" ht="14.25" customHeight="1">
      <c r="A50" s="118"/>
      <c r="B50" s="123"/>
      <c r="C50" s="30" t="str">
        <f>Regnskap!B56</f>
        <v>7600 Lisensavgift og royalties</v>
      </c>
      <c r="D50" s="31">
        <f>VLOOKUP(C50,Regnskap,3,FALSE)</f>
        <v>0</v>
      </c>
      <c r="E50" s="31"/>
      <c r="F50" s="177"/>
      <c r="G50" s="125"/>
      <c r="H50" s="118"/>
    </row>
    <row r="51" ht="14.25" customHeight="1">
      <c r="A51" s="118"/>
      <c r="B51" s="123"/>
      <c r="C51" s="30" t="str">
        <f>Regnskap!B57</f>
        <v>7740 Øredifferanse</v>
      </c>
      <c r="D51" s="31">
        <f>VLOOKUP(C51,Regnskap,3,FALSE)</f>
        <v>0</v>
      </c>
      <c r="E51" s="31"/>
      <c r="F51" s="177"/>
      <c r="G51" s="125"/>
      <c r="H51" s="118"/>
    </row>
    <row r="52" ht="14.25" customHeight="1">
      <c r="A52" s="118"/>
      <c r="B52" s="123"/>
      <c r="C52" s="30" t="str">
        <f>Regnskap!B58</f>
        <v>7770 Bank og kortgebyrer</v>
      </c>
      <c r="D52" s="31">
        <f>VLOOKUP(C52,Regnskap,3,FALSE)</f>
        <v>553</v>
      </c>
      <c r="E52" s="83">
        <v>600.0</v>
      </c>
      <c r="F52" s="177"/>
      <c r="G52" s="125"/>
      <c r="H52" s="118"/>
    </row>
    <row r="53" ht="14.25" customHeight="1">
      <c r="A53" s="118"/>
      <c r="B53" s="186"/>
      <c r="C53" s="30" t="str">
        <f>Regnskap!B59</f>
        <v>7790 Annen kostnad, fradragsberettiget</v>
      </c>
      <c r="D53" s="31">
        <f>VLOOKUP(C53,Regnskap,3,FALSE)</f>
        <v>0</v>
      </c>
      <c r="E53" s="31"/>
      <c r="F53" s="177"/>
      <c r="G53" s="187"/>
      <c r="H53" s="118"/>
    </row>
    <row r="54" ht="14.25" customHeight="1">
      <c r="A54" s="118"/>
      <c r="B54" s="123"/>
      <c r="C54" s="30" t="str">
        <f>Regnskap!B60</f>
        <v>8150 Rentekostnader</v>
      </c>
      <c r="D54" s="31">
        <f>VLOOKUP(C54,Regnskap,3,FALSE)</f>
        <v>0</v>
      </c>
      <c r="E54" s="31"/>
      <c r="F54" s="177"/>
      <c r="G54" s="125"/>
      <c r="H54" s="118"/>
    </row>
    <row r="55" ht="14.25" customHeight="1">
      <c r="A55" s="118"/>
      <c r="B55" s="123"/>
      <c r="C55" s="188" t="s">
        <v>624</v>
      </c>
      <c r="D55" s="189">
        <f t="shared" ref="D55:E55" si="3">SUM(D23:D54)</f>
        <v>81462.91</v>
      </c>
      <c r="E55" s="33">
        <f t="shared" si="3"/>
        <v>104500</v>
      </c>
      <c r="F55" s="190"/>
      <c r="G55" s="125"/>
      <c r="H55" s="118"/>
    </row>
    <row r="56" ht="14.25" customHeight="1">
      <c r="A56" s="118"/>
      <c r="B56" s="123"/>
      <c r="C56" s="191"/>
      <c r="D56" s="192"/>
      <c r="E56" s="192"/>
      <c r="F56" s="192"/>
      <c r="G56" s="125"/>
      <c r="H56" s="118"/>
    </row>
    <row r="57" ht="15.0" customHeight="1">
      <c r="A57" s="118"/>
      <c r="B57" s="123"/>
      <c r="C57" s="193" t="s">
        <v>12</v>
      </c>
      <c r="D57" s="194">
        <f t="shared" ref="D57:E57" si="4">D20-D55</f>
        <v>120240.12</v>
      </c>
      <c r="E57" s="195">
        <f t="shared" si="4"/>
        <v>-93500</v>
      </c>
      <c r="F57" s="196"/>
      <c r="G57" s="125"/>
      <c r="H57" s="118"/>
    </row>
    <row r="58" ht="15.0" customHeight="1">
      <c r="A58" s="118"/>
      <c r="B58" s="123"/>
      <c r="C58" s="46"/>
      <c r="D58" s="47"/>
      <c r="E58" s="47"/>
      <c r="F58" s="47"/>
      <c r="G58" s="125"/>
      <c r="H58" s="118"/>
    </row>
    <row r="59" ht="14.25" customHeight="1">
      <c r="A59" s="118"/>
      <c r="B59" s="123"/>
      <c r="C59" s="124"/>
      <c r="D59" s="124"/>
      <c r="E59" s="124"/>
      <c r="F59" s="124"/>
      <c r="G59" s="125"/>
      <c r="H59" s="118"/>
    </row>
    <row r="60" ht="14.25" customHeight="1">
      <c r="A60" s="118"/>
      <c r="B60" s="156"/>
      <c r="C60" s="157"/>
      <c r="D60" s="157"/>
      <c r="E60" s="157"/>
      <c r="F60" s="157"/>
      <c r="G60" s="158"/>
      <c r="H60" s="118"/>
    </row>
    <row r="61" ht="14.25" customHeight="1">
      <c r="A61" s="118"/>
      <c r="B61" s="118"/>
      <c r="C61" s="118"/>
      <c r="D61" s="118"/>
      <c r="E61" s="118"/>
      <c r="F61" s="118"/>
      <c r="G61" s="118"/>
      <c r="H61" s="118"/>
    </row>
    <row r="62" ht="14.25" customHeight="1">
      <c r="A62" s="118"/>
      <c r="B62" s="118"/>
      <c r="C62" s="118"/>
      <c r="D62" s="118"/>
      <c r="E62" s="118"/>
      <c r="F62" s="118"/>
      <c r="G62" s="118"/>
      <c r="H62" s="118"/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C4:F7"/>
    <mergeCell ref="C57:C58"/>
    <mergeCell ref="D57:D58"/>
    <mergeCell ref="E57:E58"/>
    <mergeCell ref="F57:F58"/>
  </mergeCells>
  <dataValidations>
    <dataValidation type="decimal" allowBlank="1" showInputMessage="1" showErrorMessage="1" prompt="Kun tall - Tast inn et beløp. PS: Formler kan benyttes." sqref="E12:E19 E23:E54">
      <formula1>-1.0E8</formula1>
      <formula2>1.0E8</formula2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2016-04-28T14:36:15Z</dcterms:created>
  <dc:creator>Freire, Henrik Alver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0x01010026867924DF19364488B4A4633EDA6A38</vt:lpwstr>
  </property>
</Properties>
</file>